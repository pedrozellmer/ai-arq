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ÍSICO" sheetId="2" state="visible" r:id="rId2"/>
    <sheet xmlns:r="http://schemas.openxmlformats.org/officeDocument/2006/relationships" name="FINANCEI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sz val="10"/>
    </font>
    <font>
      <name val="Calibri"/>
      <b val="1"/>
      <color rgb="000F172A"/>
      <sz val="10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FFF0A6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0" fillId="3" borderId="1" pivotButton="0" quotePrefix="0" xfId="0"/>
    <xf numFmtId="9" fontId="3" fillId="0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4" borderId="0" pivotButton="0" quotePrefix="0" xfId="0"/>
    <xf numFmtId="4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Cronograma físico-financeiro de obra — modelo AI.arq</t>
        </is>
      </c>
    </row>
    <row r="3">
      <c r="B3" s="2" t="inlineStr"/>
    </row>
    <row r="4">
      <c r="B4" s="3" t="inlineStr">
        <is>
          <t>Você preenche 3 coisas</t>
        </is>
      </c>
    </row>
    <row r="5">
      <c r="B5" s="2" t="inlineStr">
        <is>
          <t>1. Na aba FÍSICO: o percentual de avanço previsto de cada disciplina, mês a mês. A coluna de verificação mostra se a linha fecha 100%.</t>
        </is>
      </c>
    </row>
    <row r="6">
      <c r="B6" s="2" t="inlineStr">
        <is>
          <t>2. Na aba FINANCEIRO: o valor total de cada disciplina (vem do seu orçamento).</t>
        </is>
      </c>
    </row>
    <row r="7">
      <c r="B7" s="2" t="inlineStr">
        <is>
          <t>3. Só isso. O desembolso mensal, o acumulado e a curva S se calculam sozinhos, distribuindo o valor conforme o avanço físico que você lançou.</t>
        </is>
      </c>
    </row>
    <row r="8">
      <c r="B8" s="2" t="inlineStr"/>
    </row>
    <row r="9">
      <c r="B9" s="3" t="inlineStr">
        <is>
          <t>Sobre a curva S</t>
        </is>
      </c>
    </row>
    <row r="10">
      <c r="B10" s="2" t="inlineStr">
        <is>
          <t>A curva S é a linha do desembolso ACUMULADO ao longo do tempo — está na linha "% acumulado" da aba FINANCEIRO. Selecione essa linha e insira um gráfico de linhas para visualizá-la.</t>
        </is>
      </c>
    </row>
    <row r="11">
      <c r="B11" s="2" t="inlineStr"/>
    </row>
    <row r="12">
      <c r="B12" s="3" t="inlineStr">
        <is>
          <t>Aviso</t>
        </is>
      </c>
    </row>
    <row r="13">
      <c r="B13" s="4" t="inlineStr">
        <is>
          <t>Este modelo NÃO calcula o valor da obra. Ele distribui no tempo um valor que você já tem. Quem apura custo e preço é o orçamentista habilitado.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</cols>
  <sheetData>
    <row r="1">
      <c r="A1" s="5" t="inlineStr">
        <is>
          <t>AVANÇO FÍSICO PREVISTO (% por mês)</t>
        </is>
      </c>
    </row>
    <row r="2">
      <c r="A2" s="6" t="inlineStr">
        <is>
          <t>Preencha em %. A última coluna avisa se a linha fecha 100%.</t>
        </is>
      </c>
    </row>
    <row r="3">
      <c r="A3" s="7" t="inlineStr">
        <is>
          <t>DISCIPLINA</t>
        </is>
      </c>
      <c r="B3" s="8" t="inlineStr">
        <is>
          <t>M1</t>
        </is>
      </c>
      <c r="C3" s="8" t="inlineStr">
        <is>
          <t>M2</t>
        </is>
      </c>
      <c r="D3" s="8" t="inlineStr">
        <is>
          <t>M3</t>
        </is>
      </c>
      <c r="E3" s="8" t="inlineStr">
        <is>
          <t>M4</t>
        </is>
      </c>
      <c r="F3" s="8" t="inlineStr">
        <is>
          <t>M5</t>
        </is>
      </c>
      <c r="G3" s="8" t="inlineStr">
        <is>
          <t>M6</t>
        </is>
      </c>
      <c r="H3" s="8" t="inlineStr">
        <is>
          <t>M7</t>
        </is>
      </c>
      <c r="I3" s="8" t="inlineStr">
        <is>
          <t>M8</t>
        </is>
      </c>
      <c r="J3" s="8" t="inlineStr">
        <is>
          <t>M9</t>
        </is>
      </c>
      <c r="K3" s="8" t="inlineStr">
        <is>
          <t>M10</t>
        </is>
      </c>
      <c r="L3" s="8" t="inlineStr">
        <is>
          <t>M11</t>
        </is>
      </c>
      <c r="M3" s="8" t="inlineStr">
        <is>
          <t>M12</t>
        </is>
      </c>
      <c r="N3" s="8" t="inlineStr">
        <is>
          <t>M13</t>
        </is>
      </c>
      <c r="O3" s="8" t="inlineStr">
        <is>
          <t>M14</t>
        </is>
      </c>
      <c r="P3" s="8" t="inlineStr">
        <is>
          <t>M15</t>
        </is>
      </c>
      <c r="Q3" s="8" t="inlineStr">
        <is>
          <t>M16</t>
        </is>
      </c>
      <c r="R3" s="8" t="inlineStr">
        <is>
          <t>M17</t>
        </is>
      </c>
      <c r="S3" s="8" t="inlineStr">
        <is>
          <t>M18</t>
        </is>
      </c>
      <c r="T3" s="8" t="inlineStr">
        <is>
          <t>SOMA</t>
        </is>
      </c>
    </row>
    <row r="4">
      <c r="A4" s="9" t="inlineStr">
        <is>
          <t>Serviços preliminares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1">
        <f>IF(SUM(B4:S4)=0,"",SUM(B4:S4))</f>
        <v/>
      </c>
    </row>
    <row r="5">
      <c r="A5" s="9" t="inlineStr">
        <is>
          <t>Movimento de terra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IF(SUM(B5:S5)=0,"",SUM(B5:S5))</f>
        <v/>
      </c>
    </row>
    <row r="6">
      <c r="A6" s="9" t="inlineStr">
        <is>
          <t>Fundações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IF(SUM(B6:S6)=0,"",SUM(B6:S6))</f>
        <v/>
      </c>
    </row>
    <row r="7">
      <c r="A7" s="9" t="inlineStr">
        <is>
          <t>Estrutura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IF(SUM(B7:S7)=0,"",SUM(B7:S7))</f>
        <v/>
      </c>
    </row>
    <row r="8">
      <c r="A8" s="9" t="inlineStr">
        <is>
          <t>Vedações verticais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IF(SUM(B8:S8)=0,"",SUM(B8:S8))</f>
        <v/>
      </c>
    </row>
    <row r="9">
      <c r="A9" s="9" t="inlineStr">
        <is>
          <t>Cobertura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1">
        <f>IF(SUM(B9:S9)=0,"",SUM(B9:S9))</f>
        <v/>
      </c>
    </row>
    <row r="10">
      <c r="A10" s="9" t="inlineStr">
        <is>
          <t>Impermeabilizações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1">
        <f>IF(SUM(B10:S10)=0,"",SUM(B10:S10))</f>
        <v/>
      </c>
    </row>
    <row r="11">
      <c r="A11" s="9" t="inlineStr">
        <is>
          <t>Esquadrias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IF(SUM(B11:S11)=0,"",SUM(B11:S11))</f>
        <v/>
      </c>
    </row>
    <row r="12">
      <c r="A12" s="9" t="inlineStr">
        <is>
          <t>Vidros e ferragens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IF(SUM(B12:S12)=0,"",SUM(B12:S12))</f>
        <v/>
      </c>
    </row>
    <row r="13">
      <c r="A13" s="9" t="inlineStr">
        <is>
          <t>Revest. internos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>
        <f>IF(SUM(B13:S13)=0,"",SUM(B13:S13))</f>
        <v/>
      </c>
    </row>
    <row r="14">
      <c r="A14" s="9" t="inlineStr">
        <is>
          <t>Revest. externos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1">
        <f>IF(SUM(B14:S14)=0,"",SUM(B14:S14))</f>
        <v/>
      </c>
    </row>
    <row r="15">
      <c r="A15" s="9" t="inlineStr">
        <is>
          <t>Forros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1">
        <f>IF(SUM(B15:S15)=0,"",SUM(B15:S15))</f>
        <v/>
      </c>
    </row>
    <row r="16">
      <c r="A16" s="9" t="inlineStr">
        <is>
          <t>Pisos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1">
        <f>IF(SUM(B16:S16)=0,"",SUM(B16:S16))</f>
        <v/>
      </c>
    </row>
    <row r="17">
      <c r="A17" s="9" t="inlineStr">
        <is>
          <t>Pinturas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1">
        <f>IF(SUM(B17:S17)=0,"",SUM(B17:S17))</f>
        <v/>
      </c>
    </row>
    <row r="18">
      <c r="A18" s="9" t="inlineStr">
        <is>
          <t>Inst. hidrossanitárias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1">
        <f>IF(SUM(B18:S18)=0,"",SUM(B18:S18))</f>
        <v/>
      </c>
    </row>
    <row r="19">
      <c r="A19" s="9" t="inlineStr">
        <is>
          <t>Inst. elétricas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1">
        <f>IF(SUM(B19:S19)=0,"",SUM(B19:S19))</f>
        <v/>
      </c>
    </row>
    <row r="20">
      <c r="A20" s="9" t="inlineStr">
        <is>
          <t>AVAC e exaustão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1">
        <f>IF(SUM(B20:S20)=0,"",SUM(B20:S20))</f>
        <v/>
      </c>
    </row>
    <row r="21">
      <c r="A21" s="9" t="inlineStr">
        <is>
          <t>Complementares e limpeza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1">
        <f>IF(SUM(B21:S21)=0,"",SUM(B21:S21))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5" t="inlineStr">
        <is>
          <t>DESEMBOLSO POR MÊS (calculado)</t>
        </is>
      </c>
    </row>
    <row r="2">
      <c r="A2" s="6" t="inlineStr">
        <is>
          <t>Preencha só a coluna VALOR TOTAL. O resto é fórmula.</t>
        </is>
      </c>
    </row>
    <row r="3">
      <c r="A3" s="8" t="inlineStr">
        <is>
          <t>DISCIPLINA</t>
        </is>
      </c>
      <c r="B3" s="8" t="inlineStr">
        <is>
          <t>VALOR TOTAL (R$)</t>
        </is>
      </c>
      <c r="C3" s="8" t="inlineStr">
        <is>
          <t>M1</t>
        </is>
      </c>
      <c r="D3" s="8" t="inlineStr">
        <is>
          <t>M2</t>
        </is>
      </c>
      <c r="E3" s="8" t="inlineStr">
        <is>
          <t>M3</t>
        </is>
      </c>
      <c r="F3" s="8" t="inlineStr">
        <is>
          <t>M4</t>
        </is>
      </c>
      <c r="G3" s="8" t="inlineStr">
        <is>
          <t>M5</t>
        </is>
      </c>
      <c r="H3" s="8" t="inlineStr">
        <is>
          <t>M6</t>
        </is>
      </c>
      <c r="I3" s="8" t="inlineStr">
        <is>
          <t>M7</t>
        </is>
      </c>
      <c r="J3" s="8" t="inlineStr">
        <is>
          <t>M8</t>
        </is>
      </c>
      <c r="K3" s="8" t="inlineStr">
        <is>
          <t>M9</t>
        </is>
      </c>
      <c r="L3" s="8" t="inlineStr">
        <is>
          <t>M10</t>
        </is>
      </c>
      <c r="M3" s="8" t="inlineStr">
        <is>
          <t>M11</t>
        </is>
      </c>
      <c r="N3" s="8" t="inlineStr">
        <is>
          <t>M12</t>
        </is>
      </c>
      <c r="O3" s="8" t="inlineStr">
        <is>
          <t>M13</t>
        </is>
      </c>
      <c r="P3" s="8" t="inlineStr">
        <is>
          <t>M14</t>
        </is>
      </c>
      <c r="Q3" s="8" t="inlineStr">
        <is>
          <t>M15</t>
        </is>
      </c>
      <c r="R3" s="8" t="inlineStr">
        <is>
          <t>M16</t>
        </is>
      </c>
      <c r="S3" s="8" t="inlineStr">
        <is>
          <t>M17</t>
        </is>
      </c>
      <c r="T3" s="8" t="inlineStr">
        <is>
          <t>M18</t>
        </is>
      </c>
    </row>
    <row r="4">
      <c r="A4" s="9" t="inlineStr">
        <is>
          <t>Serviços preliminares</t>
        </is>
      </c>
      <c r="B4" s="12" t="n"/>
      <c r="C4" s="13">
        <f>IF($B4="","",$B4*FÍSICO!B4)</f>
        <v/>
      </c>
      <c r="D4" s="13">
        <f>IF($B4="","",$B4*FÍSICO!C4)</f>
        <v/>
      </c>
      <c r="E4" s="13">
        <f>IF($B4="","",$B4*FÍSICO!D4)</f>
        <v/>
      </c>
      <c r="F4" s="13">
        <f>IF($B4="","",$B4*FÍSICO!E4)</f>
        <v/>
      </c>
      <c r="G4" s="13">
        <f>IF($B4="","",$B4*FÍSICO!F4)</f>
        <v/>
      </c>
      <c r="H4" s="13">
        <f>IF($B4="","",$B4*FÍSICO!G4)</f>
        <v/>
      </c>
      <c r="I4" s="13">
        <f>IF($B4="","",$B4*FÍSICO!H4)</f>
        <v/>
      </c>
      <c r="J4" s="13">
        <f>IF($B4="","",$B4*FÍSICO!I4)</f>
        <v/>
      </c>
      <c r="K4" s="13">
        <f>IF($B4="","",$B4*FÍSICO!J4)</f>
        <v/>
      </c>
      <c r="L4" s="13">
        <f>IF($B4="","",$B4*FÍSICO!K4)</f>
        <v/>
      </c>
      <c r="M4" s="13">
        <f>IF($B4="","",$B4*FÍSICO!L4)</f>
        <v/>
      </c>
      <c r="N4" s="13">
        <f>IF($B4="","",$B4*FÍSICO!M4)</f>
        <v/>
      </c>
      <c r="O4" s="13">
        <f>IF($B4="","",$B4*FÍSICO!N4)</f>
        <v/>
      </c>
      <c r="P4" s="13">
        <f>IF($B4="","",$B4*FÍSICO!O4)</f>
        <v/>
      </c>
      <c r="Q4" s="13">
        <f>IF($B4="","",$B4*FÍSICO!P4)</f>
        <v/>
      </c>
      <c r="R4" s="13">
        <f>IF($B4="","",$B4*FÍSICO!Q4)</f>
        <v/>
      </c>
      <c r="S4" s="13">
        <f>IF($B4="","",$B4*FÍSICO!R4)</f>
        <v/>
      </c>
      <c r="T4" s="13">
        <f>IF($B4="","",$B4*FÍSICO!S4)</f>
        <v/>
      </c>
    </row>
    <row r="5">
      <c r="A5" s="9" t="inlineStr">
        <is>
          <t>Movimento de terra</t>
        </is>
      </c>
      <c r="B5" s="12" t="n"/>
      <c r="C5" s="13">
        <f>IF($B5="","",$B5*FÍSICO!B5)</f>
        <v/>
      </c>
      <c r="D5" s="13">
        <f>IF($B5="","",$B5*FÍSICO!C5)</f>
        <v/>
      </c>
      <c r="E5" s="13">
        <f>IF($B5="","",$B5*FÍSICO!D5)</f>
        <v/>
      </c>
      <c r="F5" s="13">
        <f>IF($B5="","",$B5*FÍSICO!E5)</f>
        <v/>
      </c>
      <c r="G5" s="13">
        <f>IF($B5="","",$B5*FÍSICO!F5)</f>
        <v/>
      </c>
      <c r="H5" s="13">
        <f>IF($B5="","",$B5*FÍSICO!G5)</f>
        <v/>
      </c>
      <c r="I5" s="13">
        <f>IF($B5="","",$B5*FÍSICO!H5)</f>
        <v/>
      </c>
      <c r="J5" s="13">
        <f>IF($B5="","",$B5*FÍSICO!I5)</f>
        <v/>
      </c>
      <c r="K5" s="13">
        <f>IF($B5="","",$B5*FÍSICO!J5)</f>
        <v/>
      </c>
      <c r="L5" s="13">
        <f>IF($B5="","",$B5*FÍSICO!K5)</f>
        <v/>
      </c>
      <c r="M5" s="13">
        <f>IF($B5="","",$B5*FÍSICO!L5)</f>
        <v/>
      </c>
      <c r="N5" s="13">
        <f>IF($B5="","",$B5*FÍSICO!M5)</f>
        <v/>
      </c>
      <c r="O5" s="13">
        <f>IF($B5="","",$B5*FÍSICO!N5)</f>
        <v/>
      </c>
      <c r="P5" s="13">
        <f>IF($B5="","",$B5*FÍSICO!O5)</f>
        <v/>
      </c>
      <c r="Q5" s="13">
        <f>IF($B5="","",$B5*FÍSICO!P5)</f>
        <v/>
      </c>
      <c r="R5" s="13">
        <f>IF($B5="","",$B5*FÍSICO!Q5)</f>
        <v/>
      </c>
      <c r="S5" s="13">
        <f>IF($B5="","",$B5*FÍSICO!R5)</f>
        <v/>
      </c>
      <c r="T5" s="13">
        <f>IF($B5="","",$B5*FÍSICO!S5)</f>
        <v/>
      </c>
    </row>
    <row r="6">
      <c r="A6" s="9" t="inlineStr">
        <is>
          <t>Fundações</t>
        </is>
      </c>
      <c r="B6" s="12" t="n"/>
      <c r="C6" s="13">
        <f>IF($B6="","",$B6*FÍSICO!B6)</f>
        <v/>
      </c>
      <c r="D6" s="13">
        <f>IF($B6="","",$B6*FÍSICO!C6)</f>
        <v/>
      </c>
      <c r="E6" s="13">
        <f>IF($B6="","",$B6*FÍSICO!D6)</f>
        <v/>
      </c>
      <c r="F6" s="13">
        <f>IF($B6="","",$B6*FÍSICO!E6)</f>
        <v/>
      </c>
      <c r="G6" s="13">
        <f>IF($B6="","",$B6*FÍSICO!F6)</f>
        <v/>
      </c>
      <c r="H6" s="13">
        <f>IF($B6="","",$B6*FÍSICO!G6)</f>
        <v/>
      </c>
      <c r="I6" s="13">
        <f>IF($B6="","",$B6*FÍSICO!H6)</f>
        <v/>
      </c>
      <c r="J6" s="13">
        <f>IF($B6="","",$B6*FÍSICO!I6)</f>
        <v/>
      </c>
      <c r="K6" s="13">
        <f>IF($B6="","",$B6*FÍSICO!J6)</f>
        <v/>
      </c>
      <c r="L6" s="13">
        <f>IF($B6="","",$B6*FÍSICO!K6)</f>
        <v/>
      </c>
      <c r="M6" s="13">
        <f>IF($B6="","",$B6*FÍSICO!L6)</f>
        <v/>
      </c>
      <c r="N6" s="13">
        <f>IF($B6="","",$B6*FÍSICO!M6)</f>
        <v/>
      </c>
      <c r="O6" s="13">
        <f>IF($B6="","",$B6*FÍSICO!N6)</f>
        <v/>
      </c>
      <c r="P6" s="13">
        <f>IF($B6="","",$B6*FÍSICO!O6)</f>
        <v/>
      </c>
      <c r="Q6" s="13">
        <f>IF($B6="","",$B6*FÍSICO!P6)</f>
        <v/>
      </c>
      <c r="R6" s="13">
        <f>IF($B6="","",$B6*FÍSICO!Q6)</f>
        <v/>
      </c>
      <c r="S6" s="13">
        <f>IF($B6="","",$B6*FÍSICO!R6)</f>
        <v/>
      </c>
      <c r="T6" s="13">
        <f>IF($B6="","",$B6*FÍSICO!S6)</f>
        <v/>
      </c>
    </row>
    <row r="7">
      <c r="A7" s="9" t="inlineStr">
        <is>
          <t>Estrutura</t>
        </is>
      </c>
      <c r="B7" s="12" t="n"/>
      <c r="C7" s="13">
        <f>IF($B7="","",$B7*FÍSICO!B7)</f>
        <v/>
      </c>
      <c r="D7" s="13">
        <f>IF($B7="","",$B7*FÍSICO!C7)</f>
        <v/>
      </c>
      <c r="E7" s="13">
        <f>IF($B7="","",$B7*FÍSICO!D7)</f>
        <v/>
      </c>
      <c r="F7" s="13">
        <f>IF($B7="","",$B7*FÍSICO!E7)</f>
        <v/>
      </c>
      <c r="G7" s="13">
        <f>IF($B7="","",$B7*FÍSICO!F7)</f>
        <v/>
      </c>
      <c r="H7" s="13">
        <f>IF($B7="","",$B7*FÍSICO!G7)</f>
        <v/>
      </c>
      <c r="I7" s="13">
        <f>IF($B7="","",$B7*FÍSICO!H7)</f>
        <v/>
      </c>
      <c r="J7" s="13">
        <f>IF($B7="","",$B7*FÍSICO!I7)</f>
        <v/>
      </c>
      <c r="K7" s="13">
        <f>IF($B7="","",$B7*FÍSICO!J7)</f>
        <v/>
      </c>
      <c r="L7" s="13">
        <f>IF($B7="","",$B7*FÍSICO!K7)</f>
        <v/>
      </c>
      <c r="M7" s="13">
        <f>IF($B7="","",$B7*FÍSICO!L7)</f>
        <v/>
      </c>
      <c r="N7" s="13">
        <f>IF($B7="","",$B7*FÍSICO!M7)</f>
        <v/>
      </c>
      <c r="O7" s="13">
        <f>IF($B7="","",$B7*FÍSICO!N7)</f>
        <v/>
      </c>
      <c r="P7" s="13">
        <f>IF($B7="","",$B7*FÍSICO!O7)</f>
        <v/>
      </c>
      <c r="Q7" s="13">
        <f>IF($B7="","",$B7*FÍSICO!P7)</f>
        <v/>
      </c>
      <c r="R7" s="13">
        <f>IF($B7="","",$B7*FÍSICO!Q7)</f>
        <v/>
      </c>
      <c r="S7" s="13">
        <f>IF($B7="","",$B7*FÍSICO!R7)</f>
        <v/>
      </c>
      <c r="T7" s="13">
        <f>IF($B7="","",$B7*FÍSICO!S7)</f>
        <v/>
      </c>
    </row>
    <row r="8">
      <c r="A8" s="9" t="inlineStr">
        <is>
          <t>Vedações verticais</t>
        </is>
      </c>
      <c r="B8" s="12" t="n"/>
      <c r="C8" s="13">
        <f>IF($B8="","",$B8*FÍSICO!B8)</f>
        <v/>
      </c>
      <c r="D8" s="13">
        <f>IF($B8="","",$B8*FÍSICO!C8)</f>
        <v/>
      </c>
      <c r="E8" s="13">
        <f>IF($B8="","",$B8*FÍSICO!D8)</f>
        <v/>
      </c>
      <c r="F8" s="13">
        <f>IF($B8="","",$B8*FÍSICO!E8)</f>
        <v/>
      </c>
      <c r="G8" s="13">
        <f>IF($B8="","",$B8*FÍSICO!F8)</f>
        <v/>
      </c>
      <c r="H8" s="13">
        <f>IF($B8="","",$B8*FÍSICO!G8)</f>
        <v/>
      </c>
      <c r="I8" s="13">
        <f>IF($B8="","",$B8*FÍSICO!H8)</f>
        <v/>
      </c>
      <c r="J8" s="13">
        <f>IF($B8="","",$B8*FÍSICO!I8)</f>
        <v/>
      </c>
      <c r="K8" s="13">
        <f>IF($B8="","",$B8*FÍSICO!J8)</f>
        <v/>
      </c>
      <c r="L8" s="13">
        <f>IF($B8="","",$B8*FÍSICO!K8)</f>
        <v/>
      </c>
      <c r="M8" s="13">
        <f>IF($B8="","",$B8*FÍSICO!L8)</f>
        <v/>
      </c>
      <c r="N8" s="13">
        <f>IF($B8="","",$B8*FÍSICO!M8)</f>
        <v/>
      </c>
      <c r="O8" s="13">
        <f>IF($B8="","",$B8*FÍSICO!N8)</f>
        <v/>
      </c>
      <c r="P8" s="13">
        <f>IF($B8="","",$B8*FÍSICO!O8)</f>
        <v/>
      </c>
      <c r="Q8" s="13">
        <f>IF($B8="","",$B8*FÍSICO!P8)</f>
        <v/>
      </c>
      <c r="R8" s="13">
        <f>IF($B8="","",$B8*FÍSICO!Q8)</f>
        <v/>
      </c>
      <c r="S8" s="13">
        <f>IF($B8="","",$B8*FÍSICO!R8)</f>
        <v/>
      </c>
      <c r="T8" s="13">
        <f>IF($B8="","",$B8*FÍSICO!S8)</f>
        <v/>
      </c>
    </row>
    <row r="9">
      <c r="A9" s="9" t="inlineStr">
        <is>
          <t>Cobertura</t>
        </is>
      </c>
      <c r="B9" s="12" t="n"/>
      <c r="C9" s="13">
        <f>IF($B9="","",$B9*FÍSICO!B9)</f>
        <v/>
      </c>
      <c r="D9" s="13">
        <f>IF($B9="","",$B9*FÍSICO!C9)</f>
        <v/>
      </c>
      <c r="E9" s="13">
        <f>IF($B9="","",$B9*FÍSICO!D9)</f>
        <v/>
      </c>
      <c r="F9" s="13">
        <f>IF($B9="","",$B9*FÍSICO!E9)</f>
        <v/>
      </c>
      <c r="G9" s="13">
        <f>IF($B9="","",$B9*FÍSICO!F9)</f>
        <v/>
      </c>
      <c r="H9" s="13">
        <f>IF($B9="","",$B9*FÍSICO!G9)</f>
        <v/>
      </c>
      <c r="I9" s="13">
        <f>IF($B9="","",$B9*FÍSICO!H9)</f>
        <v/>
      </c>
      <c r="J9" s="13">
        <f>IF($B9="","",$B9*FÍSICO!I9)</f>
        <v/>
      </c>
      <c r="K9" s="13">
        <f>IF($B9="","",$B9*FÍSICO!J9)</f>
        <v/>
      </c>
      <c r="L9" s="13">
        <f>IF($B9="","",$B9*FÍSICO!K9)</f>
        <v/>
      </c>
      <c r="M9" s="13">
        <f>IF($B9="","",$B9*FÍSICO!L9)</f>
        <v/>
      </c>
      <c r="N9" s="13">
        <f>IF($B9="","",$B9*FÍSICO!M9)</f>
        <v/>
      </c>
      <c r="O9" s="13">
        <f>IF($B9="","",$B9*FÍSICO!N9)</f>
        <v/>
      </c>
      <c r="P9" s="13">
        <f>IF($B9="","",$B9*FÍSICO!O9)</f>
        <v/>
      </c>
      <c r="Q9" s="13">
        <f>IF($B9="","",$B9*FÍSICO!P9)</f>
        <v/>
      </c>
      <c r="R9" s="13">
        <f>IF($B9="","",$B9*FÍSICO!Q9)</f>
        <v/>
      </c>
      <c r="S9" s="13">
        <f>IF($B9="","",$B9*FÍSICO!R9)</f>
        <v/>
      </c>
      <c r="T9" s="13">
        <f>IF($B9="","",$B9*FÍSICO!S9)</f>
        <v/>
      </c>
    </row>
    <row r="10">
      <c r="A10" s="9" t="inlineStr">
        <is>
          <t>Impermeabilizações</t>
        </is>
      </c>
      <c r="B10" s="12" t="n"/>
      <c r="C10" s="13">
        <f>IF($B10="","",$B10*FÍSICO!B10)</f>
        <v/>
      </c>
      <c r="D10" s="13">
        <f>IF($B10="","",$B10*FÍSICO!C10)</f>
        <v/>
      </c>
      <c r="E10" s="13">
        <f>IF($B10="","",$B10*FÍSICO!D10)</f>
        <v/>
      </c>
      <c r="F10" s="13">
        <f>IF($B10="","",$B10*FÍSICO!E10)</f>
        <v/>
      </c>
      <c r="G10" s="13">
        <f>IF($B10="","",$B10*FÍSICO!F10)</f>
        <v/>
      </c>
      <c r="H10" s="13">
        <f>IF($B10="","",$B10*FÍSICO!G10)</f>
        <v/>
      </c>
      <c r="I10" s="13">
        <f>IF($B10="","",$B10*FÍSICO!H10)</f>
        <v/>
      </c>
      <c r="J10" s="13">
        <f>IF($B10="","",$B10*FÍSICO!I10)</f>
        <v/>
      </c>
      <c r="K10" s="13">
        <f>IF($B10="","",$B10*FÍSICO!J10)</f>
        <v/>
      </c>
      <c r="L10" s="13">
        <f>IF($B10="","",$B10*FÍSICO!K10)</f>
        <v/>
      </c>
      <c r="M10" s="13">
        <f>IF($B10="","",$B10*FÍSICO!L10)</f>
        <v/>
      </c>
      <c r="N10" s="13">
        <f>IF($B10="","",$B10*FÍSICO!M10)</f>
        <v/>
      </c>
      <c r="O10" s="13">
        <f>IF($B10="","",$B10*FÍSICO!N10)</f>
        <v/>
      </c>
      <c r="P10" s="13">
        <f>IF($B10="","",$B10*FÍSICO!O10)</f>
        <v/>
      </c>
      <c r="Q10" s="13">
        <f>IF($B10="","",$B10*FÍSICO!P10)</f>
        <v/>
      </c>
      <c r="R10" s="13">
        <f>IF($B10="","",$B10*FÍSICO!Q10)</f>
        <v/>
      </c>
      <c r="S10" s="13">
        <f>IF($B10="","",$B10*FÍSICO!R10)</f>
        <v/>
      </c>
      <c r="T10" s="13">
        <f>IF($B10="","",$B10*FÍSICO!S10)</f>
        <v/>
      </c>
    </row>
    <row r="11">
      <c r="A11" s="9" t="inlineStr">
        <is>
          <t>Esquadrias</t>
        </is>
      </c>
      <c r="B11" s="12" t="n"/>
      <c r="C11" s="13">
        <f>IF($B11="","",$B11*FÍSICO!B11)</f>
        <v/>
      </c>
      <c r="D11" s="13">
        <f>IF($B11="","",$B11*FÍSICO!C11)</f>
        <v/>
      </c>
      <c r="E11" s="13">
        <f>IF($B11="","",$B11*FÍSICO!D11)</f>
        <v/>
      </c>
      <c r="F11" s="13">
        <f>IF($B11="","",$B11*FÍSICO!E11)</f>
        <v/>
      </c>
      <c r="G11" s="13">
        <f>IF($B11="","",$B11*FÍSICO!F11)</f>
        <v/>
      </c>
      <c r="H11" s="13">
        <f>IF($B11="","",$B11*FÍSICO!G11)</f>
        <v/>
      </c>
      <c r="I11" s="13">
        <f>IF($B11="","",$B11*FÍSICO!H11)</f>
        <v/>
      </c>
      <c r="J11" s="13">
        <f>IF($B11="","",$B11*FÍSICO!I11)</f>
        <v/>
      </c>
      <c r="K11" s="13">
        <f>IF($B11="","",$B11*FÍSICO!J11)</f>
        <v/>
      </c>
      <c r="L11" s="13">
        <f>IF($B11="","",$B11*FÍSICO!K11)</f>
        <v/>
      </c>
      <c r="M11" s="13">
        <f>IF($B11="","",$B11*FÍSICO!L11)</f>
        <v/>
      </c>
      <c r="N11" s="13">
        <f>IF($B11="","",$B11*FÍSICO!M11)</f>
        <v/>
      </c>
      <c r="O11" s="13">
        <f>IF($B11="","",$B11*FÍSICO!N11)</f>
        <v/>
      </c>
      <c r="P11" s="13">
        <f>IF($B11="","",$B11*FÍSICO!O11)</f>
        <v/>
      </c>
      <c r="Q11" s="13">
        <f>IF($B11="","",$B11*FÍSICO!P11)</f>
        <v/>
      </c>
      <c r="R11" s="13">
        <f>IF($B11="","",$B11*FÍSICO!Q11)</f>
        <v/>
      </c>
      <c r="S11" s="13">
        <f>IF($B11="","",$B11*FÍSICO!R11)</f>
        <v/>
      </c>
      <c r="T11" s="13">
        <f>IF($B11="","",$B11*FÍSICO!S11)</f>
        <v/>
      </c>
    </row>
    <row r="12">
      <c r="A12" s="9" t="inlineStr">
        <is>
          <t>Vidros e ferragens</t>
        </is>
      </c>
      <c r="B12" s="12" t="n"/>
      <c r="C12" s="13">
        <f>IF($B12="","",$B12*FÍSICO!B12)</f>
        <v/>
      </c>
      <c r="D12" s="13">
        <f>IF($B12="","",$B12*FÍSICO!C12)</f>
        <v/>
      </c>
      <c r="E12" s="13">
        <f>IF($B12="","",$B12*FÍSICO!D12)</f>
        <v/>
      </c>
      <c r="F12" s="13">
        <f>IF($B12="","",$B12*FÍSICO!E12)</f>
        <v/>
      </c>
      <c r="G12" s="13">
        <f>IF($B12="","",$B12*FÍSICO!F12)</f>
        <v/>
      </c>
      <c r="H12" s="13">
        <f>IF($B12="","",$B12*FÍSICO!G12)</f>
        <v/>
      </c>
      <c r="I12" s="13">
        <f>IF($B12="","",$B12*FÍSICO!H12)</f>
        <v/>
      </c>
      <c r="J12" s="13">
        <f>IF($B12="","",$B12*FÍSICO!I12)</f>
        <v/>
      </c>
      <c r="K12" s="13">
        <f>IF($B12="","",$B12*FÍSICO!J12)</f>
        <v/>
      </c>
      <c r="L12" s="13">
        <f>IF($B12="","",$B12*FÍSICO!K12)</f>
        <v/>
      </c>
      <c r="M12" s="13">
        <f>IF($B12="","",$B12*FÍSICO!L12)</f>
        <v/>
      </c>
      <c r="N12" s="13">
        <f>IF($B12="","",$B12*FÍSICO!M12)</f>
        <v/>
      </c>
      <c r="O12" s="13">
        <f>IF($B12="","",$B12*FÍSICO!N12)</f>
        <v/>
      </c>
      <c r="P12" s="13">
        <f>IF($B12="","",$B12*FÍSICO!O12)</f>
        <v/>
      </c>
      <c r="Q12" s="13">
        <f>IF($B12="","",$B12*FÍSICO!P12)</f>
        <v/>
      </c>
      <c r="R12" s="13">
        <f>IF($B12="","",$B12*FÍSICO!Q12)</f>
        <v/>
      </c>
      <c r="S12" s="13">
        <f>IF($B12="","",$B12*FÍSICO!R12)</f>
        <v/>
      </c>
      <c r="T12" s="13">
        <f>IF($B12="","",$B12*FÍSICO!S12)</f>
        <v/>
      </c>
    </row>
    <row r="13">
      <c r="A13" s="9" t="inlineStr">
        <is>
          <t>Revest. internos</t>
        </is>
      </c>
      <c r="B13" s="12" t="n"/>
      <c r="C13" s="13">
        <f>IF($B13="","",$B13*FÍSICO!B13)</f>
        <v/>
      </c>
      <c r="D13" s="13">
        <f>IF($B13="","",$B13*FÍSICO!C13)</f>
        <v/>
      </c>
      <c r="E13" s="13">
        <f>IF($B13="","",$B13*FÍSICO!D13)</f>
        <v/>
      </c>
      <c r="F13" s="13">
        <f>IF($B13="","",$B13*FÍSICO!E13)</f>
        <v/>
      </c>
      <c r="G13" s="13">
        <f>IF($B13="","",$B13*FÍSICO!F13)</f>
        <v/>
      </c>
      <c r="H13" s="13">
        <f>IF($B13="","",$B13*FÍSICO!G13)</f>
        <v/>
      </c>
      <c r="I13" s="13">
        <f>IF($B13="","",$B13*FÍSICO!H13)</f>
        <v/>
      </c>
      <c r="J13" s="13">
        <f>IF($B13="","",$B13*FÍSICO!I13)</f>
        <v/>
      </c>
      <c r="K13" s="13">
        <f>IF($B13="","",$B13*FÍSICO!J13)</f>
        <v/>
      </c>
      <c r="L13" s="13">
        <f>IF($B13="","",$B13*FÍSICO!K13)</f>
        <v/>
      </c>
      <c r="M13" s="13">
        <f>IF($B13="","",$B13*FÍSICO!L13)</f>
        <v/>
      </c>
      <c r="N13" s="13">
        <f>IF($B13="","",$B13*FÍSICO!M13)</f>
        <v/>
      </c>
      <c r="O13" s="13">
        <f>IF($B13="","",$B13*FÍSICO!N13)</f>
        <v/>
      </c>
      <c r="P13" s="13">
        <f>IF($B13="","",$B13*FÍSICO!O13)</f>
        <v/>
      </c>
      <c r="Q13" s="13">
        <f>IF($B13="","",$B13*FÍSICO!P13)</f>
        <v/>
      </c>
      <c r="R13" s="13">
        <f>IF($B13="","",$B13*FÍSICO!Q13)</f>
        <v/>
      </c>
      <c r="S13" s="13">
        <f>IF($B13="","",$B13*FÍSICO!R13)</f>
        <v/>
      </c>
      <c r="T13" s="13">
        <f>IF($B13="","",$B13*FÍSICO!S13)</f>
        <v/>
      </c>
    </row>
    <row r="14">
      <c r="A14" s="9" t="inlineStr">
        <is>
          <t>Revest. externos</t>
        </is>
      </c>
      <c r="B14" s="12" t="n"/>
      <c r="C14" s="13">
        <f>IF($B14="","",$B14*FÍSICO!B14)</f>
        <v/>
      </c>
      <c r="D14" s="13">
        <f>IF($B14="","",$B14*FÍSICO!C14)</f>
        <v/>
      </c>
      <c r="E14" s="13">
        <f>IF($B14="","",$B14*FÍSICO!D14)</f>
        <v/>
      </c>
      <c r="F14" s="13">
        <f>IF($B14="","",$B14*FÍSICO!E14)</f>
        <v/>
      </c>
      <c r="G14" s="13">
        <f>IF($B14="","",$B14*FÍSICO!F14)</f>
        <v/>
      </c>
      <c r="H14" s="13">
        <f>IF($B14="","",$B14*FÍSICO!G14)</f>
        <v/>
      </c>
      <c r="I14" s="13">
        <f>IF($B14="","",$B14*FÍSICO!H14)</f>
        <v/>
      </c>
      <c r="J14" s="13">
        <f>IF($B14="","",$B14*FÍSICO!I14)</f>
        <v/>
      </c>
      <c r="K14" s="13">
        <f>IF($B14="","",$B14*FÍSICO!J14)</f>
        <v/>
      </c>
      <c r="L14" s="13">
        <f>IF($B14="","",$B14*FÍSICO!K14)</f>
        <v/>
      </c>
      <c r="M14" s="13">
        <f>IF($B14="","",$B14*FÍSICO!L14)</f>
        <v/>
      </c>
      <c r="N14" s="13">
        <f>IF($B14="","",$B14*FÍSICO!M14)</f>
        <v/>
      </c>
      <c r="O14" s="13">
        <f>IF($B14="","",$B14*FÍSICO!N14)</f>
        <v/>
      </c>
      <c r="P14" s="13">
        <f>IF($B14="","",$B14*FÍSICO!O14)</f>
        <v/>
      </c>
      <c r="Q14" s="13">
        <f>IF($B14="","",$B14*FÍSICO!P14)</f>
        <v/>
      </c>
      <c r="R14" s="13">
        <f>IF($B14="","",$B14*FÍSICO!Q14)</f>
        <v/>
      </c>
      <c r="S14" s="13">
        <f>IF($B14="","",$B14*FÍSICO!R14)</f>
        <v/>
      </c>
      <c r="T14" s="13">
        <f>IF($B14="","",$B14*FÍSICO!S14)</f>
        <v/>
      </c>
    </row>
    <row r="15">
      <c r="A15" s="9" t="inlineStr">
        <is>
          <t>Forros</t>
        </is>
      </c>
      <c r="B15" s="12" t="n"/>
      <c r="C15" s="13">
        <f>IF($B15="","",$B15*FÍSICO!B15)</f>
        <v/>
      </c>
      <c r="D15" s="13">
        <f>IF($B15="","",$B15*FÍSICO!C15)</f>
        <v/>
      </c>
      <c r="E15" s="13">
        <f>IF($B15="","",$B15*FÍSICO!D15)</f>
        <v/>
      </c>
      <c r="F15" s="13">
        <f>IF($B15="","",$B15*FÍSICO!E15)</f>
        <v/>
      </c>
      <c r="G15" s="13">
        <f>IF($B15="","",$B15*FÍSICO!F15)</f>
        <v/>
      </c>
      <c r="H15" s="13">
        <f>IF($B15="","",$B15*FÍSICO!G15)</f>
        <v/>
      </c>
      <c r="I15" s="13">
        <f>IF($B15="","",$B15*FÍSICO!H15)</f>
        <v/>
      </c>
      <c r="J15" s="13">
        <f>IF($B15="","",$B15*FÍSICO!I15)</f>
        <v/>
      </c>
      <c r="K15" s="13">
        <f>IF($B15="","",$B15*FÍSICO!J15)</f>
        <v/>
      </c>
      <c r="L15" s="13">
        <f>IF($B15="","",$B15*FÍSICO!K15)</f>
        <v/>
      </c>
      <c r="M15" s="13">
        <f>IF($B15="","",$B15*FÍSICO!L15)</f>
        <v/>
      </c>
      <c r="N15" s="13">
        <f>IF($B15="","",$B15*FÍSICO!M15)</f>
        <v/>
      </c>
      <c r="O15" s="13">
        <f>IF($B15="","",$B15*FÍSICO!N15)</f>
        <v/>
      </c>
      <c r="P15" s="13">
        <f>IF($B15="","",$B15*FÍSICO!O15)</f>
        <v/>
      </c>
      <c r="Q15" s="13">
        <f>IF($B15="","",$B15*FÍSICO!P15)</f>
        <v/>
      </c>
      <c r="R15" s="13">
        <f>IF($B15="","",$B15*FÍSICO!Q15)</f>
        <v/>
      </c>
      <c r="S15" s="13">
        <f>IF($B15="","",$B15*FÍSICO!R15)</f>
        <v/>
      </c>
      <c r="T15" s="13">
        <f>IF($B15="","",$B15*FÍSICO!S15)</f>
        <v/>
      </c>
    </row>
    <row r="16">
      <c r="A16" s="9" t="inlineStr">
        <is>
          <t>Pisos</t>
        </is>
      </c>
      <c r="B16" s="12" t="n"/>
      <c r="C16" s="13">
        <f>IF($B16="","",$B16*FÍSICO!B16)</f>
        <v/>
      </c>
      <c r="D16" s="13">
        <f>IF($B16="","",$B16*FÍSICO!C16)</f>
        <v/>
      </c>
      <c r="E16" s="13">
        <f>IF($B16="","",$B16*FÍSICO!D16)</f>
        <v/>
      </c>
      <c r="F16" s="13">
        <f>IF($B16="","",$B16*FÍSICO!E16)</f>
        <v/>
      </c>
      <c r="G16" s="13">
        <f>IF($B16="","",$B16*FÍSICO!F16)</f>
        <v/>
      </c>
      <c r="H16" s="13">
        <f>IF($B16="","",$B16*FÍSICO!G16)</f>
        <v/>
      </c>
      <c r="I16" s="13">
        <f>IF($B16="","",$B16*FÍSICO!H16)</f>
        <v/>
      </c>
      <c r="J16" s="13">
        <f>IF($B16="","",$B16*FÍSICO!I16)</f>
        <v/>
      </c>
      <c r="K16" s="13">
        <f>IF($B16="","",$B16*FÍSICO!J16)</f>
        <v/>
      </c>
      <c r="L16" s="13">
        <f>IF($B16="","",$B16*FÍSICO!K16)</f>
        <v/>
      </c>
      <c r="M16" s="13">
        <f>IF($B16="","",$B16*FÍSICO!L16)</f>
        <v/>
      </c>
      <c r="N16" s="13">
        <f>IF($B16="","",$B16*FÍSICO!M16)</f>
        <v/>
      </c>
      <c r="O16" s="13">
        <f>IF($B16="","",$B16*FÍSICO!N16)</f>
        <v/>
      </c>
      <c r="P16" s="13">
        <f>IF($B16="","",$B16*FÍSICO!O16)</f>
        <v/>
      </c>
      <c r="Q16" s="13">
        <f>IF($B16="","",$B16*FÍSICO!P16)</f>
        <v/>
      </c>
      <c r="R16" s="13">
        <f>IF($B16="","",$B16*FÍSICO!Q16)</f>
        <v/>
      </c>
      <c r="S16" s="13">
        <f>IF($B16="","",$B16*FÍSICO!R16)</f>
        <v/>
      </c>
      <c r="T16" s="13">
        <f>IF($B16="","",$B16*FÍSICO!S16)</f>
        <v/>
      </c>
    </row>
    <row r="17">
      <c r="A17" s="9" t="inlineStr">
        <is>
          <t>Pinturas</t>
        </is>
      </c>
      <c r="B17" s="12" t="n"/>
      <c r="C17" s="13">
        <f>IF($B17="","",$B17*FÍSICO!B17)</f>
        <v/>
      </c>
      <c r="D17" s="13">
        <f>IF($B17="","",$B17*FÍSICO!C17)</f>
        <v/>
      </c>
      <c r="E17" s="13">
        <f>IF($B17="","",$B17*FÍSICO!D17)</f>
        <v/>
      </c>
      <c r="F17" s="13">
        <f>IF($B17="","",$B17*FÍSICO!E17)</f>
        <v/>
      </c>
      <c r="G17" s="13">
        <f>IF($B17="","",$B17*FÍSICO!F17)</f>
        <v/>
      </c>
      <c r="H17" s="13">
        <f>IF($B17="","",$B17*FÍSICO!G17)</f>
        <v/>
      </c>
      <c r="I17" s="13">
        <f>IF($B17="","",$B17*FÍSICO!H17)</f>
        <v/>
      </c>
      <c r="J17" s="13">
        <f>IF($B17="","",$B17*FÍSICO!I17)</f>
        <v/>
      </c>
      <c r="K17" s="13">
        <f>IF($B17="","",$B17*FÍSICO!J17)</f>
        <v/>
      </c>
      <c r="L17" s="13">
        <f>IF($B17="","",$B17*FÍSICO!K17)</f>
        <v/>
      </c>
      <c r="M17" s="13">
        <f>IF($B17="","",$B17*FÍSICO!L17)</f>
        <v/>
      </c>
      <c r="N17" s="13">
        <f>IF($B17="","",$B17*FÍSICO!M17)</f>
        <v/>
      </c>
      <c r="O17" s="13">
        <f>IF($B17="","",$B17*FÍSICO!N17)</f>
        <v/>
      </c>
      <c r="P17" s="13">
        <f>IF($B17="","",$B17*FÍSICO!O17)</f>
        <v/>
      </c>
      <c r="Q17" s="13">
        <f>IF($B17="","",$B17*FÍSICO!P17)</f>
        <v/>
      </c>
      <c r="R17" s="13">
        <f>IF($B17="","",$B17*FÍSICO!Q17)</f>
        <v/>
      </c>
      <c r="S17" s="13">
        <f>IF($B17="","",$B17*FÍSICO!R17)</f>
        <v/>
      </c>
      <c r="T17" s="13">
        <f>IF($B17="","",$B17*FÍSICO!S17)</f>
        <v/>
      </c>
    </row>
    <row r="18">
      <c r="A18" s="9" t="inlineStr">
        <is>
          <t>Inst. hidrossanitárias</t>
        </is>
      </c>
      <c r="B18" s="12" t="n"/>
      <c r="C18" s="13">
        <f>IF($B18="","",$B18*FÍSICO!B18)</f>
        <v/>
      </c>
      <c r="D18" s="13">
        <f>IF($B18="","",$B18*FÍSICO!C18)</f>
        <v/>
      </c>
      <c r="E18" s="13">
        <f>IF($B18="","",$B18*FÍSICO!D18)</f>
        <v/>
      </c>
      <c r="F18" s="13">
        <f>IF($B18="","",$B18*FÍSICO!E18)</f>
        <v/>
      </c>
      <c r="G18" s="13">
        <f>IF($B18="","",$B18*FÍSICO!F18)</f>
        <v/>
      </c>
      <c r="H18" s="13">
        <f>IF($B18="","",$B18*FÍSICO!G18)</f>
        <v/>
      </c>
      <c r="I18" s="13">
        <f>IF($B18="","",$B18*FÍSICO!H18)</f>
        <v/>
      </c>
      <c r="J18" s="13">
        <f>IF($B18="","",$B18*FÍSICO!I18)</f>
        <v/>
      </c>
      <c r="K18" s="13">
        <f>IF($B18="","",$B18*FÍSICO!J18)</f>
        <v/>
      </c>
      <c r="L18" s="13">
        <f>IF($B18="","",$B18*FÍSICO!K18)</f>
        <v/>
      </c>
      <c r="M18" s="13">
        <f>IF($B18="","",$B18*FÍSICO!L18)</f>
        <v/>
      </c>
      <c r="N18" s="13">
        <f>IF($B18="","",$B18*FÍSICO!M18)</f>
        <v/>
      </c>
      <c r="O18" s="13">
        <f>IF($B18="","",$B18*FÍSICO!N18)</f>
        <v/>
      </c>
      <c r="P18" s="13">
        <f>IF($B18="","",$B18*FÍSICO!O18)</f>
        <v/>
      </c>
      <c r="Q18" s="13">
        <f>IF($B18="","",$B18*FÍSICO!P18)</f>
        <v/>
      </c>
      <c r="R18" s="13">
        <f>IF($B18="","",$B18*FÍSICO!Q18)</f>
        <v/>
      </c>
      <c r="S18" s="13">
        <f>IF($B18="","",$B18*FÍSICO!R18)</f>
        <v/>
      </c>
      <c r="T18" s="13">
        <f>IF($B18="","",$B18*FÍSICO!S18)</f>
        <v/>
      </c>
    </row>
    <row r="19">
      <c r="A19" s="9" t="inlineStr">
        <is>
          <t>Inst. elétricas</t>
        </is>
      </c>
      <c r="B19" s="12" t="n"/>
      <c r="C19" s="13">
        <f>IF($B19="","",$B19*FÍSICO!B19)</f>
        <v/>
      </c>
      <c r="D19" s="13">
        <f>IF($B19="","",$B19*FÍSICO!C19)</f>
        <v/>
      </c>
      <c r="E19" s="13">
        <f>IF($B19="","",$B19*FÍSICO!D19)</f>
        <v/>
      </c>
      <c r="F19" s="13">
        <f>IF($B19="","",$B19*FÍSICO!E19)</f>
        <v/>
      </c>
      <c r="G19" s="13">
        <f>IF($B19="","",$B19*FÍSICO!F19)</f>
        <v/>
      </c>
      <c r="H19" s="13">
        <f>IF($B19="","",$B19*FÍSICO!G19)</f>
        <v/>
      </c>
      <c r="I19" s="13">
        <f>IF($B19="","",$B19*FÍSICO!H19)</f>
        <v/>
      </c>
      <c r="J19" s="13">
        <f>IF($B19="","",$B19*FÍSICO!I19)</f>
        <v/>
      </c>
      <c r="K19" s="13">
        <f>IF($B19="","",$B19*FÍSICO!J19)</f>
        <v/>
      </c>
      <c r="L19" s="13">
        <f>IF($B19="","",$B19*FÍSICO!K19)</f>
        <v/>
      </c>
      <c r="M19" s="13">
        <f>IF($B19="","",$B19*FÍSICO!L19)</f>
        <v/>
      </c>
      <c r="N19" s="13">
        <f>IF($B19="","",$B19*FÍSICO!M19)</f>
        <v/>
      </c>
      <c r="O19" s="13">
        <f>IF($B19="","",$B19*FÍSICO!N19)</f>
        <v/>
      </c>
      <c r="P19" s="13">
        <f>IF($B19="","",$B19*FÍSICO!O19)</f>
        <v/>
      </c>
      <c r="Q19" s="13">
        <f>IF($B19="","",$B19*FÍSICO!P19)</f>
        <v/>
      </c>
      <c r="R19" s="13">
        <f>IF($B19="","",$B19*FÍSICO!Q19)</f>
        <v/>
      </c>
      <c r="S19" s="13">
        <f>IF($B19="","",$B19*FÍSICO!R19)</f>
        <v/>
      </c>
      <c r="T19" s="13">
        <f>IF($B19="","",$B19*FÍSICO!S19)</f>
        <v/>
      </c>
    </row>
    <row r="20">
      <c r="A20" s="9" t="inlineStr">
        <is>
          <t>AVAC e exaustão</t>
        </is>
      </c>
      <c r="B20" s="12" t="n"/>
      <c r="C20" s="13">
        <f>IF($B20="","",$B20*FÍSICO!B20)</f>
        <v/>
      </c>
      <c r="D20" s="13">
        <f>IF($B20="","",$B20*FÍSICO!C20)</f>
        <v/>
      </c>
      <c r="E20" s="13">
        <f>IF($B20="","",$B20*FÍSICO!D20)</f>
        <v/>
      </c>
      <c r="F20" s="13">
        <f>IF($B20="","",$B20*FÍSICO!E20)</f>
        <v/>
      </c>
      <c r="G20" s="13">
        <f>IF($B20="","",$B20*FÍSICO!F20)</f>
        <v/>
      </c>
      <c r="H20" s="13">
        <f>IF($B20="","",$B20*FÍSICO!G20)</f>
        <v/>
      </c>
      <c r="I20" s="13">
        <f>IF($B20="","",$B20*FÍSICO!H20)</f>
        <v/>
      </c>
      <c r="J20" s="13">
        <f>IF($B20="","",$B20*FÍSICO!I20)</f>
        <v/>
      </c>
      <c r="K20" s="13">
        <f>IF($B20="","",$B20*FÍSICO!J20)</f>
        <v/>
      </c>
      <c r="L20" s="13">
        <f>IF($B20="","",$B20*FÍSICO!K20)</f>
        <v/>
      </c>
      <c r="M20" s="13">
        <f>IF($B20="","",$B20*FÍSICO!L20)</f>
        <v/>
      </c>
      <c r="N20" s="13">
        <f>IF($B20="","",$B20*FÍSICO!M20)</f>
        <v/>
      </c>
      <c r="O20" s="13">
        <f>IF($B20="","",$B20*FÍSICO!N20)</f>
        <v/>
      </c>
      <c r="P20" s="13">
        <f>IF($B20="","",$B20*FÍSICO!O20)</f>
        <v/>
      </c>
      <c r="Q20" s="13">
        <f>IF($B20="","",$B20*FÍSICO!P20)</f>
        <v/>
      </c>
      <c r="R20" s="13">
        <f>IF($B20="","",$B20*FÍSICO!Q20)</f>
        <v/>
      </c>
      <c r="S20" s="13">
        <f>IF($B20="","",$B20*FÍSICO!R20)</f>
        <v/>
      </c>
      <c r="T20" s="13">
        <f>IF($B20="","",$B20*FÍSICO!S20)</f>
        <v/>
      </c>
    </row>
    <row r="21">
      <c r="A21" s="9" t="inlineStr">
        <is>
          <t>Complementares e limpeza</t>
        </is>
      </c>
      <c r="B21" s="12" t="n"/>
      <c r="C21" s="13">
        <f>IF($B21="","",$B21*FÍSICO!B21)</f>
        <v/>
      </c>
      <c r="D21" s="13">
        <f>IF($B21="","",$B21*FÍSICO!C21)</f>
        <v/>
      </c>
      <c r="E21" s="13">
        <f>IF($B21="","",$B21*FÍSICO!D21)</f>
        <v/>
      </c>
      <c r="F21" s="13">
        <f>IF($B21="","",$B21*FÍSICO!E21)</f>
        <v/>
      </c>
      <c r="G21" s="13">
        <f>IF($B21="","",$B21*FÍSICO!F21)</f>
        <v/>
      </c>
      <c r="H21" s="13">
        <f>IF($B21="","",$B21*FÍSICO!G21)</f>
        <v/>
      </c>
      <c r="I21" s="13">
        <f>IF($B21="","",$B21*FÍSICO!H21)</f>
        <v/>
      </c>
      <c r="J21" s="13">
        <f>IF($B21="","",$B21*FÍSICO!I21)</f>
        <v/>
      </c>
      <c r="K21" s="13">
        <f>IF($B21="","",$B21*FÍSICO!J21)</f>
        <v/>
      </c>
      <c r="L21" s="13">
        <f>IF($B21="","",$B21*FÍSICO!K21)</f>
        <v/>
      </c>
      <c r="M21" s="13">
        <f>IF($B21="","",$B21*FÍSICO!L21)</f>
        <v/>
      </c>
      <c r="N21" s="13">
        <f>IF($B21="","",$B21*FÍSICO!M21)</f>
        <v/>
      </c>
      <c r="O21" s="13">
        <f>IF($B21="","",$B21*FÍSICO!N21)</f>
        <v/>
      </c>
      <c r="P21" s="13">
        <f>IF($B21="","",$B21*FÍSICO!O21)</f>
        <v/>
      </c>
      <c r="Q21" s="13">
        <f>IF($B21="","",$B21*FÍSICO!P21)</f>
        <v/>
      </c>
      <c r="R21" s="13">
        <f>IF($B21="","",$B21*FÍSICO!Q21)</f>
        <v/>
      </c>
      <c r="S21" s="13">
        <f>IF($B21="","",$B21*FÍSICO!R21)</f>
        <v/>
      </c>
      <c r="T21" s="13">
        <f>IF($B21="","",$B21*FÍSICO!S21)</f>
        <v/>
      </c>
    </row>
    <row r="22">
      <c r="A22" s="14" t="inlineStr">
        <is>
          <t>DESEMBOLSO DO MÊS</t>
        </is>
      </c>
      <c r="B22" s="15">
        <f>SUM(B4:B21)</f>
        <v/>
      </c>
      <c r="C22" s="15">
        <f>SUM(C4:C21)</f>
        <v/>
      </c>
      <c r="D22" s="15">
        <f>SUM(D4:D21)</f>
        <v/>
      </c>
      <c r="E22" s="15">
        <f>SUM(E4:E21)</f>
        <v/>
      </c>
      <c r="F22" s="15">
        <f>SUM(F4:F21)</f>
        <v/>
      </c>
      <c r="G22" s="15">
        <f>SUM(G4:G21)</f>
        <v/>
      </c>
      <c r="H22" s="15">
        <f>SUM(H4:H21)</f>
        <v/>
      </c>
      <c r="I22" s="15">
        <f>SUM(I4:I21)</f>
        <v/>
      </c>
      <c r="J22" s="15">
        <f>SUM(J4:J21)</f>
        <v/>
      </c>
      <c r="K22" s="15">
        <f>SUM(K4:K21)</f>
        <v/>
      </c>
      <c r="L22" s="15">
        <f>SUM(L4:L21)</f>
        <v/>
      </c>
      <c r="M22" s="15">
        <f>SUM(M4:M21)</f>
        <v/>
      </c>
      <c r="N22" s="15">
        <f>SUM(N4:N21)</f>
        <v/>
      </c>
      <c r="O22" s="15">
        <f>SUM(O4:O21)</f>
        <v/>
      </c>
      <c r="P22" s="15">
        <f>SUM(P4:P21)</f>
        <v/>
      </c>
      <c r="Q22" s="15">
        <f>SUM(Q4:Q21)</f>
        <v/>
      </c>
      <c r="R22" s="15">
        <f>SUM(R4:R21)</f>
        <v/>
      </c>
      <c r="S22" s="15">
        <f>SUM(S4:S21)</f>
        <v/>
      </c>
      <c r="T22" s="15">
        <f>SUM(T4:T21)</f>
        <v/>
      </c>
    </row>
    <row r="23">
      <c r="A23" s="14" t="inlineStr">
        <is>
          <t>ACUMULADO</t>
        </is>
      </c>
      <c r="C23" s="16">
        <f>C22</f>
        <v/>
      </c>
      <c r="D23" s="16">
        <f>C23+D22</f>
        <v/>
      </c>
      <c r="E23" s="16">
        <f>D23+E22</f>
        <v/>
      </c>
      <c r="F23" s="16">
        <f>E23+F22</f>
        <v/>
      </c>
      <c r="G23" s="16">
        <f>F23+G22</f>
        <v/>
      </c>
      <c r="H23" s="16">
        <f>G23+H22</f>
        <v/>
      </c>
      <c r="I23" s="16">
        <f>H23+I22</f>
        <v/>
      </c>
      <c r="J23" s="16">
        <f>I23+J22</f>
        <v/>
      </c>
      <c r="K23" s="16">
        <f>J23+K22</f>
        <v/>
      </c>
      <c r="L23" s="16">
        <f>K23+L22</f>
        <v/>
      </c>
      <c r="M23" s="16">
        <f>L23+M22</f>
        <v/>
      </c>
      <c r="N23" s="16">
        <f>M23+N22</f>
        <v/>
      </c>
      <c r="O23" s="16">
        <f>N23+O22</f>
        <v/>
      </c>
      <c r="P23" s="16">
        <f>O23+P22</f>
        <v/>
      </c>
      <c r="Q23" s="16">
        <f>P23+Q22</f>
        <v/>
      </c>
      <c r="R23" s="16">
        <f>Q23+R22</f>
        <v/>
      </c>
      <c r="S23" s="16">
        <f>R23+S22</f>
        <v/>
      </c>
      <c r="T23" s="16">
        <f>S23+T22</f>
        <v/>
      </c>
    </row>
    <row r="24">
      <c r="A24" s="14" t="inlineStr">
        <is>
          <t>% ACUMULADO (curva S)</t>
        </is>
      </c>
      <c r="C24" s="17">
        <f>IF($B22=0,"",C23/$B22)</f>
        <v/>
      </c>
      <c r="D24" s="17">
        <f>IF($B22=0,"",D23/$B22)</f>
        <v/>
      </c>
      <c r="E24" s="17">
        <f>IF($B22=0,"",E23/$B22)</f>
        <v/>
      </c>
      <c r="F24" s="17">
        <f>IF($B22=0,"",F23/$B22)</f>
        <v/>
      </c>
      <c r="G24" s="17">
        <f>IF($B22=0,"",G23/$B22)</f>
        <v/>
      </c>
      <c r="H24" s="17">
        <f>IF($B22=0,"",H23/$B22)</f>
        <v/>
      </c>
      <c r="I24" s="17">
        <f>IF($B22=0,"",I23/$B22)</f>
        <v/>
      </c>
      <c r="J24" s="17">
        <f>IF($B22=0,"",J23/$B22)</f>
        <v/>
      </c>
      <c r="K24" s="17">
        <f>IF($B22=0,"",K23/$B22)</f>
        <v/>
      </c>
      <c r="L24" s="17">
        <f>IF($B22=0,"",L23/$B22)</f>
        <v/>
      </c>
      <c r="M24" s="17">
        <f>IF($B22=0,"",M23/$B22)</f>
        <v/>
      </c>
      <c r="N24" s="17">
        <f>IF($B22=0,"",N23/$B22)</f>
        <v/>
      </c>
      <c r="O24" s="17">
        <f>IF($B22=0,"",O23/$B22)</f>
        <v/>
      </c>
      <c r="P24" s="17">
        <f>IF($B22=0,"",P23/$B22)</f>
        <v/>
      </c>
      <c r="Q24" s="17">
        <f>IF($B22=0,"",Q23/$B22)</f>
        <v/>
      </c>
      <c r="R24" s="17">
        <f>IF($B22=0,"",R23/$B22)</f>
        <v/>
      </c>
      <c r="S24" s="17">
        <f>IF($B22=0,"",S23/$B22)</f>
        <v/>
      </c>
      <c r="T24" s="17">
        <f>IF($B22=0,"",T23/$B22)</f>
        <v/>
      </c>
    </row>
    <row r="26">
      <c r="A26" s="6" t="inlineStr">
        <is>
          <t>Selecione a linha "% ACUMULADO" e insira um gráfico de linhas: é a curva S da obra.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2026-08-01T11:43:02Z</dcterms:created>
  <dcterms:modified xmlns:dcterms="http://purl.org/dc/terms/" xmlns:xsi="http://www.w3.org/2001/XMLSchema-instance" xsi:type="dcterms:W3CDTF">2026-08-01T11:43:02Z</dcterms:modified>
</cp:coreProperties>
</file>