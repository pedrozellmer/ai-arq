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Comparativo" sheetId="1" state="visible" r:id="rId1"/>
    <sheet xmlns:r="http://schemas.openxmlformats.org/officeDocument/2006/relationships" name="Orçamento" sheetId="2" state="visible" r:id="rId2"/>
    <sheet xmlns:r="http://schemas.openxmlformats.org/officeDocument/2006/relationships" name="Referências SINA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8B4A0F"/>
      <sz val="10"/>
    </font>
    <font>
      <name val="Calibri"/>
      <b val="1"/>
      <color rgb="004F46E5"/>
      <sz val="12"/>
    </font>
    <font>
      <name val="Calibri"/>
      <b val="1"/>
      <sz val="10"/>
    </font>
    <font>
      <name val="Calibri"/>
      <sz val="10"/>
    </font>
    <font>
      <name val="Calibri"/>
      <b val="1"/>
      <color rgb="000F172A"/>
      <sz val="15"/>
    </font>
    <font>
      <name val="Calibri"/>
      <sz val="9"/>
    </font>
    <font>
      <name val="Calibri"/>
      <i val="1"/>
      <color rgb="0064748B"/>
      <sz val="8"/>
    </font>
    <font>
      <name val="Calibri"/>
      <b val="1"/>
      <color rgb="000F172A"/>
      <sz val="9"/>
    </font>
    <font>
      <name val="Calibri"/>
      <b val="1"/>
      <color rgb="00FFFFFF"/>
      <sz val="11"/>
    </font>
    <font>
      <name val="Calibri"/>
      <i val="1"/>
      <color rgb="006B7280"/>
      <sz val="9"/>
    </font>
    <font>
      <name val="Calibri"/>
      <i val="1"/>
      <color rgb="006B7280"/>
      <sz val="8"/>
    </font>
    <font>
      <name val="Calibri"/>
      <color rgb="00475569"/>
      <sz val="7"/>
    </font>
    <font>
      <name val="Calibri"/>
      <color rgb="00334155"/>
      <sz val="8"/>
    </font>
    <font>
      <name val="Calibri"/>
      <sz val="7"/>
    </font>
    <font>
      <name val="Calibri"/>
      <color rgb="001D4ED8"/>
      <sz val="9"/>
    </font>
    <font>
      <name val="Calibri"/>
      <b val="1"/>
      <sz val="9"/>
    </font>
    <font>
      <name val="Calibri"/>
      <i val="1"/>
      <color rgb="007B2D8E"/>
      <sz val="8"/>
    </font>
    <font>
      <name val="Calibri"/>
      <b val="1"/>
      <color rgb="000F172A"/>
      <sz val="10"/>
    </font>
    <font>
      <name val="Calibri"/>
      <sz val="8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92400E"/>
      <sz val="8"/>
    </font>
    <font>
      <name val="Calibri"/>
      <color rgb="00374151"/>
      <sz val="8"/>
    </font>
  </fonts>
  <fills count="18">
    <fill>
      <patternFill/>
    </fill>
    <fill>
      <patternFill patternType="gray125"/>
    </fill>
    <fill>
      <patternFill patternType="solid">
        <fgColor rgb="00FFF7CC"/>
        <bgColor rgb="00FFF7CC"/>
      </patternFill>
    </fill>
    <fill>
      <patternFill patternType="solid">
        <fgColor rgb="00E2E8F0"/>
      </patternFill>
    </fill>
    <fill>
      <patternFill patternType="solid">
        <fgColor rgb="000F172A"/>
      </patternFill>
    </fill>
    <fill>
      <patternFill patternType="solid">
        <fgColor rgb="00F3F4F6"/>
      </patternFill>
    </fill>
    <fill>
      <patternFill patternType="solid">
        <fgColor rgb="00FFF0A6"/>
      </patternFill>
    </fill>
    <fill>
      <patternFill patternType="solid">
        <fgColor rgb="00FFE1B3"/>
      </patternFill>
    </fill>
    <fill>
      <patternFill patternType="solid">
        <fgColor rgb="00F8FAFC"/>
      </patternFill>
    </fill>
    <fill>
      <patternFill patternType="solid">
        <fgColor rgb="007B2D8E"/>
      </patternFill>
    </fill>
    <fill>
      <patternFill patternType="solid">
        <fgColor rgb="00F3E8FF"/>
      </patternFill>
    </fill>
    <fill>
      <patternFill patternType="solid">
        <fgColor rgb="00E9D5FF"/>
      </patternFill>
    </fill>
    <fill>
      <patternFill patternType="solid">
        <fgColor rgb="00E8ECF4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6B7280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right" vertical="center"/>
    </xf>
    <xf numFmtId="4" fontId="15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 wrapText="1"/>
    </xf>
    <xf numFmtId="0" fontId="17" fillId="0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4" fontId="6" fillId="10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right" vertical="center"/>
    </xf>
    <xf numFmtId="4" fontId="16" fillId="11" borderId="1" applyAlignment="1" pivotButton="0" quotePrefix="0" xfId="0">
      <alignment horizontal="right" vertical="center"/>
    </xf>
    <xf numFmtId="0" fontId="6" fillId="0" borderId="1" pivotButton="0" quotePrefix="0" xfId="0"/>
    <xf numFmtId="0" fontId="18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right" vertical="center"/>
    </xf>
    <xf numFmtId="4" fontId="18" fillId="12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wrapText="1"/>
    </xf>
    <xf numFmtId="0" fontId="16" fillId="0" borderId="1" pivotButton="0" quotePrefix="0" xfId="0"/>
    <xf numFmtId="10" fontId="16" fillId="6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0" fontId="19" fillId="0" borderId="1" pivotButton="0" quotePrefix="0" xfId="0"/>
    <xf numFmtId="0" fontId="20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right" vertical="center"/>
    </xf>
    <xf numFmtId="4" fontId="20" fillId="4" borderId="1" applyAlignment="1" pivotButton="0" quotePrefix="0" xfId="0">
      <alignment horizontal="right" vertical="center"/>
    </xf>
    <xf numFmtId="0" fontId="21" fillId="13" borderId="1" applyAlignment="1" pivotButton="0" quotePrefix="0" xfId="0">
      <alignment horizontal="left" vertical="center" wrapText="1"/>
    </xf>
    <xf numFmtId="0" fontId="22" fillId="14" borderId="0" pivotButton="0" quotePrefix="0" xfId="0"/>
    <xf numFmtId="0" fontId="21" fillId="15" borderId="1" applyAlignment="1" pivotButton="0" quotePrefix="0" xfId="0">
      <alignment horizontal="left" vertical="center" wrapText="1"/>
    </xf>
    <xf numFmtId="0" fontId="23" fillId="5" borderId="0" pivotButton="0" quotePrefix="0" xfId="0"/>
    <xf numFmtId="0" fontId="16" fillId="0" borderId="0" pivotButton="0" quotePrefix="0" xfId="0"/>
    <xf numFmtId="0" fontId="19" fillId="0" borderId="0" pivotButton="0" quotePrefix="0" xfId="0"/>
    <xf numFmtId="0" fontId="6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48" customHeight="1">
      <c r="A1" s="1" t="inlineStr">
        <is>
          <t>⚠️ O AI.arq é uma IA e pode cometer erros — confira as informações importantes. Quantitativo gerado por IA, NÃO é orçamento. Revisão por arquiteto ou engenheiro habilitado é obrigatória antes do uso. Itens em LARANJA são sugestões da IA — confira contra o projeto antes de mandar pros fornecedores.</t>
        </is>
      </c>
    </row>
    <row r="3">
      <c r="A3" s="2" t="inlineStr">
        <is>
          <t>QUANTITATIVO — ESCRITÓRIO / CORPORATIVO</t>
        </is>
      </c>
    </row>
    <row r="5">
      <c r="A5" s="3" t="inlineStr">
        <is>
          <t>Projeto: Reforma de Escritório — Exemplo AI.arq (fictício)</t>
        </is>
      </c>
    </row>
    <row r="6">
      <c r="A6" s="4" t="inlineStr">
        <is>
          <t>Endereço: Projeto de demonstração — dados fictícios</t>
        </is>
      </c>
    </row>
    <row r="7">
      <c r="A7" s="4" t="inlineStr">
        <is>
          <t>Arquitetura: Exemplo AI.arq</t>
        </is>
      </c>
    </row>
    <row r="8">
      <c r="A8" s="4" t="inlineStr">
        <is>
          <t>Fase: Projeto Executivo</t>
        </is>
      </c>
    </row>
    <row r="9">
      <c r="A9" s="4" t="inlineStr">
        <is>
          <t>Área laje bruta: 118.5 m² | Área layout: 118.5 m² | Sem intervenção: 0.0 m²</t>
        </is>
      </c>
    </row>
  </sheetData>
  <mergeCells count="7">
    <mergeCell ref="A7:B7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K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5" customWidth="1" min="3" max="3"/>
    <col width="8" customWidth="1" min="4" max="4"/>
    <col width="13" customWidth="1" min="5" max="5"/>
    <col width="13" customWidth="1" min="6" max="6"/>
    <col width="15" customWidth="1" min="7" max="7"/>
    <col width="35" customWidth="1" min="8" max="8"/>
    <col width="38" customWidth="1" min="9" max="9"/>
    <col width="30" customWidth="1" min="10" max="10"/>
    <col width="12" customWidth="1" min="11" max="11"/>
  </cols>
  <sheetData>
    <row r="1">
      <c r="A1" s="5" t="inlineStr">
        <is>
          <t>PLANILHA DE QUANTITATIVOS PARA CONCORRÊNCIA — AI.arq</t>
        </is>
      </c>
    </row>
    <row r="2">
      <c r="A2" s="6" t="inlineStr">
        <is>
          <t>Reforma de Escritório — Exemplo AI.arq (fictício) | Exemplo AI.arq</t>
        </is>
      </c>
    </row>
    <row r="3">
      <c r="A3" s="7" t="inlineStr">
        <is>
          <t>Cada item traz na coluna OBSERVAÇÕES um selo de status: "✓ MEDIDO do CAD" (saiu do desenho) ou "⚠ ESTIMADO — revisar". A cor é só reforço — fundo BRANCO = medido · LARANJA = estimado · CINZA = metadado · ROXO = custo indireto/gestão. Coluna AMARELA = preencher preço. Itens ⚠ ESTIMADO e os roxos exigem revisão antes de fechar o orçamento.</t>
        </is>
      </c>
    </row>
    <row r="5">
      <c r="A5" s="8" t="inlineStr">
        <is>
          <t>ITEM</t>
        </is>
      </c>
      <c r="B5" s="8" t="inlineStr">
        <is>
          <t>DESCRIÇÃO DO SERVIÇO</t>
        </is>
      </c>
      <c r="C5" s="8" t="inlineStr">
        <is>
          <t>UN</t>
        </is>
      </c>
      <c r="D5" s="8" t="inlineStr">
        <is>
          <t>QTDE</t>
        </is>
      </c>
      <c r="E5" s="8" t="inlineStr">
        <is>
          <t>MAT (R$)</t>
        </is>
      </c>
      <c r="F5" s="8" t="inlineStr">
        <is>
          <t>M.O. (R$)</t>
        </is>
      </c>
      <c r="G5" s="8" t="inlineStr">
        <is>
          <t>TOTAL (R$)</t>
        </is>
      </c>
      <c r="H5" s="8" t="inlineStr">
        <is>
          <t>OBSERVAÇÕES</t>
        </is>
      </c>
      <c r="I5" s="8" t="inlineStr">
        <is>
          <t>ORIGEM DA MEDIÇÃO</t>
        </is>
      </c>
      <c r="J5" s="8" t="inlineStr">
        <is>
          <t>ESPECIFICAÇÃO</t>
        </is>
      </c>
      <c r="K5" s="8" t="inlineStr">
        <is>
          <t>REF.</t>
        </is>
      </c>
    </row>
    <row r="6">
      <c r="A6" s="9" t="inlineStr">
        <is>
          <t>0. PREMISSAS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10" t="inlineStr">
        <is>
          <t>0.1</t>
        </is>
      </c>
      <c r="B7" s="11" t="inlineStr">
        <is>
          <t>Área construída — perímetro externo da laje</t>
        </is>
      </c>
      <c r="C7" s="10" t="inlineStr">
        <is>
          <t>m²</t>
        </is>
      </c>
      <c r="D7" s="12" t="n">
        <v>118.5</v>
      </c>
      <c r="E7" s="13" t="n"/>
      <c r="F7" s="13" t="n"/>
      <c r="G7" s="13" t="n"/>
      <c r="H7" s="14" t="inlineStr">
        <is>
          <t>Metadado do projeto — revisar no arquivo original</t>
        </is>
      </c>
      <c r="I7" s="15" t="inlineStr">
        <is>
          <t>—</t>
        </is>
      </c>
      <c r="J7" s="16" t="inlineStr"/>
      <c r="K7" s="17" t="inlineStr"/>
    </row>
    <row r="8">
      <c r="A8" s="10" t="inlineStr">
        <is>
          <t>0.3</t>
        </is>
      </c>
      <c r="B8" s="11" t="inlineStr">
        <is>
          <t>Área utilizada para layout / intervenção</t>
        </is>
      </c>
      <c r="C8" s="10" t="inlineStr">
        <is>
          <t>m²</t>
        </is>
      </c>
      <c r="D8" s="12" t="n">
        <v>118.5</v>
      </c>
      <c r="E8" s="13" t="n"/>
      <c r="F8" s="13" t="n"/>
      <c r="G8" s="13" t="n"/>
      <c r="H8" s="14" t="inlineStr">
        <is>
          <t>Metadado do projeto — revisar no arquivo original</t>
        </is>
      </c>
      <c r="I8" s="15" t="inlineStr">
        <is>
          <t>—</t>
        </is>
      </c>
      <c r="J8" s="16" t="inlineStr"/>
      <c r="K8" s="17" t="inlineStr"/>
    </row>
    <row r="9">
      <c r="A9" s="10" t="inlineStr">
        <is>
          <t>0.9</t>
        </is>
      </c>
      <c r="B9" s="11" t="inlineStr">
        <is>
          <t>Este quantitativo também gera: cronograma físico-financeiro e memorial descritivo</t>
        </is>
      </c>
      <c r="C9" s="10" t="inlineStr">
        <is>
          <t>—</t>
        </is>
      </c>
      <c r="D9" s="12" t="n"/>
      <c r="E9" s="13" t="n"/>
      <c r="F9" s="13" t="n"/>
      <c r="G9" s="13" t="n"/>
      <c r="H9" s="14" t="inlineStr">
        <is>
          <t>De graça, na página do seu projeto em ai.arq.br — sempre derivados desta planilha</t>
        </is>
      </c>
      <c r="I9" s="15" t="inlineStr">
        <is>
          <t>—</t>
        </is>
      </c>
      <c r="J9" s="16" t="inlineStr"/>
      <c r="K9" s="17" t="inlineStr"/>
    </row>
    <row r="11">
      <c r="A11" s="9" t="inlineStr">
        <is>
          <t>1. SERVIÇOS PRELIMINARES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8" t="inlineStr">
        <is>
          <t>1.1</t>
        </is>
      </c>
      <c r="B12" s="19" t="inlineStr">
        <is>
          <t>Administração da obra e mobilização de canteiro</t>
        </is>
      </c>
      <c r="C12" s="18" t="inlineStr">
        <is>
          <t>vb</t>
        </is>
      </c>
      <c r="D12" s="20" t="n">
        <v>1</v>
      </c>
      <c r="E12" s="21" t="n"/>
      <c r="F12" s="21" t="n"/>
      <c r="G12" s="22">
        <f>D12*(E12+F12)</f>
        <v/>
      </c>
      <c r="H12" s="23" t="inlineStr">
        <is>
          <t>⚠ ESTIMADO — revisar. Sem desenho para este item: a IA o incluiu pela lista de serviços de uma reforma — defina a quantidade conforme o contrato.</t>
        </is>
      </c>
      <c r="I12" s="24" t="inlineStr">
        <is>
          <t>não medido — a IA identificou o item; a quantidade é sua</t>
        </is>
      </c>
      <c r="J12" s="25" t="inlineStr"/>
      <c r="K12" s="26" t="inlineStr">
        <is>
          <t>SINAPI: sem correspondência forte (ver aba técnica)</t>
        </is>
      </c>
    </row>
    <row r="13">
      <c r="A13" s="18" t="inlineStr">
        <is>
          <t>1.2</t>
        </is>
      </c>
      <c r="B13" s="19" t="inlineStr">
        <is>
          <t>Limpeza final da obra</t>
        </is>
      </c>
      <c r="C13" s="18" t="inlineStr">
        <is>
          <t>m²</t>
        </is>
      </c>
      <c r="D13" s="20" t="n">
        <v>118.5</v>
      </c>
      <c r="E13" s="21" t="n"/>
      <c r="F13" s="21" t="n"/>
      <c r="G13" s="22">
        <f>D13*(E13+F13)</f>
        <v/>
      </c>
      <c r="H13" s="23" t="inlineStr">
        <is>
          <t>⚠ ESTIMADO — revisar. Fonte: área construída do quadro de áreas = 118,50 m². Item de praxe em reforma: ajuste se a limpeza for só na área reformada.</t>
        </is>
      </c>
      <c r="I13" s="24" t="inlineStr">
        <is>
          <t>área construída do quadro de áreas = 118,50 m²</t>
        </is>
      </c>
      <c r="J13" s="25" t="inlineStr"/>
      <c r="K13" s="26" t="inlineStr">
        <is>
          <t>SINAPI: sem correspondência forte (ver aba técnica)</t>
        </is>
      </c>
    </row>
    <row r="14">
      <c r="A14" s="27" t="inlineStr">
        <is>
          <t>SUBTOTAL 1 — SERVIÇOS PRELIMINARES</t>
        </is>
      </c>
      <c r="B14" s="28" t="n"/>
      <c r="C14" s="28" t="n"/>
      <c r="D14" s="28" t="n"/>
      <c r="E14" s="28" t="n"/>
      <c r="F14" s="28" t="n"/>
      <c r="G14" s="29">
        <f>SUM(G12:G13)</f>
        <v/>
      </c>
      <c r="H14" s="28" t="n"/>
      <c r="I14" s="28" t="n"/>
    </row>
    <row r="15">
      <c r="A15" s="9" t="inlineStr">
        <is>
          <t>2. DEMOLIÇÃO E REMOÇÃO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18" t="inlineStr">
        <is>
          <t>2.1</t>
        </is>
      </c>
      <c r="B16" s="19" t="inlineStr">
        <is>
          <t>Demolição de alvenaria de vedação (e=15cm)</t>
        </is>
      </c>
      <c r="C16" s="18" t="inlineStr">
        <is>
          <t>m²</t>
        </is>
      </c>
      <c r="D16" s="20" t="n"/>
      <c r="E16" s="21" t="n"/>
      <c r="F16" s="21" t="n"/>
      <c r="G16" s="22">
        <f>D16*(E16+F16)</f>
        <v/>
      </c>
      <c r="H16" s="23" t="inlineStr">
        <is>
          <t>⚠ ESTIMADO — revisar. Paredes marcadas 'a demolir' na planta, sem layer próprio: sem layer, não há comprimento pra medir. Preencha pela planta de demolição.</t>
        </is>
      </c>
      <c r="I16" s="24" t="inlineStr">
        <is>
          <t>não medido — a IA identificou o item; a quantidade é sua</t>
        </is>
      </c>
      <c r="J16" s="25" t="inlineStr"/>
      <c r="K16" s="26" t="inlineStr">
        <is>
          <t>SINAPI 97622 (conf. alta) ⚠ unidade difere (item m² × SINAPI M3)</t>
        </is>
      </c>
    </row>
    <row r="17">
      <c r="A17" s="18" t="inlineStr">
        <is>
          <t>2.2</t>
        </is>
      </c>
      <c r="B17" s="19" t="inlineStr">
        <is>
          <t>Remoção de divisória existente</t>
        </is>
      </c>
      <c r="C17" s="18" t="inlineStr">
        <is>
          <t>m²</t>
        </is>
      </c>
      <c r="D17" s="20" t="n">
        <v>18</v>
      </c>
      <c r="E17" s="21" t="n"/>
      <c r="F17" s="21" t="n"/>
      <c r="G17" s="22">
        <f>D17*(E17+F17)</f>
        <v/>
      </c>
      <c r="H17" s="23" t="inlineStr">
        <is>
          <t>⚠ ESTIMADO — revisar. Fonte: comprimento do layer 'ARQ-DEMOLIR-DIV' = 7,20 m × altura 2,50 m (cota do corte AA) = 18,00 m². A altura vem de um corte só: confira se ela vale pra divisória inteira.</t>
        </is>
      </c>
      <c r="I17" s="24" t="inlineStr">
        <is>
          <t>comprimento do layer 'ARQ-DEMOLIR-DIV' = 7,20 m × altura 2,50 m (cota do corte AA) = 18,00 m²</t>
        </is>
      </c>
      <c r="J17" s="25" t="inlineStr"/>
      <c r="K17" s="26" t="inlineStr">
        <is>
          <t>SINAPI ~97638 (conf. alta)</t>
        </is>
      </c>
    </row>
    <row r="18">
      <c r="A18" s="27" t="inlineStr">
        <is>
          <t>SUBTOTAL 2 — DEMOLIÇÃO E REMOÇÃO</t>
        </is>
      </c>
      <c r="B18" s="28" t="n"/>
      <c r="C18" s="28" t="n"/>
      <c r="D18" s="28" t="n"/>
      <c r="E18" s="28" t="n"/>
      <c r="F18" s="28" t="n"/>
      <c r="G18" s="29">
        <f>SUM(G16:G17)</f>
        <v/>
      </c>
      <c r="H18" s="28" t="n"/>
      <c r="I18" s="28" t="n"/>
    </row>
    <row r="19">
      <c r="A19" s="9" t="inlineStr">
        <is>
          <t>3. FECHAMENTOS VERTICAIS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18" t="inlineStr">
        <is>
          <t>3.1</t>
        </is>
      </c>
      <c r="B20" s="19" t="inlineStr">
        <is>
          <t>Alvenaria de bloco cerâmico e=14cm</t>
        </is>
      </c>
      <c r="C20" s="18" t="inlineStr">
        <is>
          <t>m²</t>
        </is>
      </c>
      <c r="D20" s="20" t="n">
        <v>41.2</v>
      </c>
      <c r="E20" s="21" t="n"/>
      <c r="F20" s="21" t="n"/>
      <c r="G20" s="22">
        <f>D20*(E20+F20)</f>
        <v/>
      </c>
      <c r="H20" s="23" t="inlineStr">
        <is>
          <t>⚠ ESTIMADO — revisar. Fonte: comprimento do layer 'ARQ-ALV-CONSTRUIR' = 16,48 m × altura 2,50 m (cota do corte AA) = 41,20 m². A altura vem de um corte só: confira se ela vale pra parede inteira.</t>
        </is>
      </c>
      <c r="I20" s="24" t="inlineStr">
        <is>
          <t>comprimento do layer 'ARQ-ALV-CONSTRUIR' = 16,48 m × altura 2,50 m (cota do corte AA) = 41,20 m²</t>
        </is>
      </c>
      <c r="J20" s="25" t="inlineStr"/>
      <c r="K20" s="26" t="inlineStr">
        <is>
          <t>SINAPI 103346 (conf. alta)</t>
        </is>
      </c>
    </row>
    <row r="21">
      <c r="A21" s="18" t="inlineStr">
        <is>
          <t>3.2</t>
        </is>
      </c>
      <c r="B21" s="19" t="inlineStr">
        <is>
          <t>Divisória em drywall (2 faces, com lã)</t>
        </is>
      </c>
      <c r="C21" s="18" t="inlineStr">
        <is>
          <t>m²</t>
        </is>
      </c>
      <c r="D21" s="20" t="n">
        <v>33.8</v>
      </c>
      <c r="E21" s="21" t="n"/>
      <c r="F21" s="21" t="n"/>
      <c r="G21" s="22">
        <f>D21*(E21+F21)</f>
        <v/>
      </c>
      <c r="H21" s="23" t="inlineStr">
        <is>
          <t>⚠ ESTIMADO — revisar. Fonte: comprimento do layer 'ARQ-DRYWALL' = 13,52 m × altura 2,50 m (cota do corte AA) = 33,80 m². A altura vem de um corte só: confira se o drywall vai até a laje ou para no forro.</t>
        </is>
      </c>
      <c r="I21" s="24" t="inlineStr">
        <is>
          <t>comprimento do layer 'ARQ-DRYWALL' = 13,52 m × altura 2,50 m (cota do corte AA) = 33,80 m²</t>
        </is>
      </c>
      <c r="J21" s="25" t="inlineStr"/>
      <c r="K21" s="26" t="inlineStr">
        <is>
          <t>SINAPI 96361 (conf. alta)</t>
        </is>
      </c>
    </row>
    <row r="22">
      <c r="A22" s="27" t="inlineStr">
        <is>
          <t>SUBTOTAL 3 — FECHAMENTOS VERTICAIS</t>
        </is>
      </c>
      <c r="B22" s="28" t="n"/>
      <c r="C22" s="28" t="n"/>
      <c r="D22" s="28" t="n"/>
      <c r="E22" s="28" t="n"/>
      <c r="F22" s="28" t="n"/>
      <c r="G22" s="29">
        <f>SUM(G20:G21)</f>
        <v/>
      </c>
      <c r="H22" s="28" t="n"/>
      <c r="I22" s="28" t="n"/>
    </row>
    <row r="23">
      <c r="A23" s="9" t="inlineStr">
        <is>
          <t>4. REVESTIMENTOS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18" t="inlineStr">
        <is>
          <t>4.1</t>
        </is>
      </c>
      <c r="B24" s="19" t="inlineStr">
        <is>
          <t>Pintura látex acrílica em parede (2 demãos)</t>
        </is>
      </c>
      <c r="C24" s="18" t="inlineStr">
        <is>
          <t>m²</t>
        </is>
      </c>
      <c r="D24" s="20" t="n">
        <v>214</v>
      </c>
      <c r="E24" s="21" t="n"/>
      <c r="F24" s="21" t="n"/>
      <c r="G24" s="22">
        <f>D24*(E24+F24)</f>
        <v/>
      </c>
      <c r="H24" s="23" t="inlineStr">
        <is>
          <t>⚠ ESTIMADO — revisar. Estimada pela IA: perímetro das paredes × altura, descontando as portas — as paredes existentes não têm layer de acabamento. Confira no CAD.</t>
        </is>
      </c>
      <c r="I24" s="24" t="inlineStr">
        <is>
          <t>não medido — a IA identificou o item; a quantidade é sua</t>
        </is>
      </c>
      <c r="J24" s="25" t="inlineStr"/>
      <c r="K24" s="26" t="inlineStr">
        <is>
          <t>SINAPI ~88489 (conf. alta)</t>
        </is>
      </c>
    </row>
    <row r="25">
      <c r="A25" s="18" t="inlineStr">
        <is>
          <t>4.2</t>
        </is>
      </c>
      <c r="B25" s="19" t="inlineStr">
        <is>
          <t>Pintura em forro de gesso</t>
        </is>
      </c>
      <c r="C25" s="18" t="inlineStr">
        <is>
          <t>m²</t>
        </is>
      </c>
      <c r="D25" s="20" t="n">
        <v>101.7</v>
      </c>
      <c r="E25" s="21" t="n"/>
      <c r="F25" s="21" t="n"/>
      <c r="G25" s="22">
        <f>D25*(E25+F25)</f>
        <v/>
      </c>
      <c r="H25" s="23" t="inlineStr">
        <is>
          <t>⚠ ESTIMADO — revisar. Estimada pela IA com a área do forro de gesso — confirme se o forro inteiro recebe pintura.</t>
        </is>
      </c>
      <c r="I25" s="24" t="inlineStr">
        <is>
          <t>não medido — a IA identificou o item; a quantidade é sua</t>
        </is>
      </c>
      <c r="J25" s="25" t="inlineStr"/>
      <c r="K25" s="26" t="inlineStr">
        <is>
          <t>SINAPI: sem correspondência forte (ver aba técnica)</t>
        </is>
      </c>
    </row>
    <row r="26">
      <c r="A26" s="18" t="inlineStr">
        <is>
          <t>4.3</t>
        </is>
      </c>
      <c r="B26" s="19" t="inlineStr">
        <is>
          <t>Revestimento cerâmico 33x45 em parede (sanitários e copa)</t>
        </is>
      </c>
      <c r="C26" s="18" t="inlineStr">
        <is>
          <t>m²</t>
        </is>
      </c>
      <c r="D26" s="20" t="n"/>
      <c r="E26" s="21" t="n"/>
      <c r="F26" s="21" t="n"/>
      <c r="G26" s="22">
        <f>D26*(E26+F26)</f>
        <v/>
      </c>
      <c r="H26" s="23" t="inlineStr">
        <is>
          <t>⚠ ESTIMADO — revisar. A legenda pede revestimento até o forro nos sanitários e na copa, mas o desenho não tem hachura nem vista dessas paredes: sem medida, a linha vem em branco. Preencha pela altura e pelo perímetro de cada ambiente.</t>
        </is>
      </c>
      <c r="I26" s="24" t="inlineStr">
        <is>
          <t>não medido — a IA identificou o item; a quantidade é sua</t>
        </is>
      </c>
      <c r="J26" s="25" t="inlineStr"/>
      <c r="K26" s="26" t="inlineStr">
        <is>
          <t>SINAPI 87273 (conf. alta)</t>
        </is>
      </c>
    </row>
    <row r="27">
      <c r="A27" s="27" t="inlineStr">
        <is>
          <t>SUBTOTAL 4 — REVESTIMENTOS</t>
        </is>
      </c>
      <c r="B27" s="28" t="n"/>
      <c r="C27" s="28" t="n"/>
      <c r="D27" s="28" t="n"/>
      <c r="E27" s="28" t="n"/>
      <c r="F27" s="28" t="n"/>
      <c r="G27" s="29">
        <f>SUM(G24:G26)</f>
        <v/>
      </c>
      <c r="H27" s="28" t="n"/>
      <c r="I27" s="28" t="n"/>
    </row>
    <row r="28">
      <c r="A28" s="9" t="inlineStr">
        <is>
          <t>5. PISOS E RODAPÉS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18" t="inlineStr">
        <is>
          <t>5.1</t>
        </is>
      </c>
      <c r="B29" s="19" t="inlineStr">
        <is>
          <t>Contrapiso desempenado e=4cm</t>
        </is>
      </c>
      <c r="C29" s="18" t="inlineStr">
        <is>
          <t>m²</t>
        </is>
      </c>
      <c r="D29" s="20" t="n">
        <v>108.3</v>
      </c>
      <c r="E29" s="21" t="n"/>
      <c r="F29" s="21" t="n"/>
      <c r="G29" s="22">
        <f>D29*(E29+F29)</f>
        <v/>
      </c>
      <c r="H29" s="23" t="inlineStr">
        <is>
          <t>⚠ ESTIMADO — revisar. Fonte: soma das hachuras dos layers 'PISO-PORCELANATO' + 'PISO-VINILICO' = 108,30 m². O contrapiso não tem hachura própria: confira se ele vai sob todo o piso novo.</t>
        </is>
      </c>
      <c r="I29" s="24" t="inlineStr">
        <is>
          <t>soma das hachuras dos layers 'PISO-PORCELANATO' + 'PISO-VINILICO' = 108,30 m²</t>
        </is>
      </c>
      <c r="J29" s="25" t="inlineStr"/>
      <c r="K29" s="26" t="inlineStr">
        <is>
          <t>SINAPI ~88478 (conf. alta)</t>
        </is>
      </c>
    </row>
    <row r="30">
      <c r="A30" s="18" t="inlineStr">
        <is>
          <t>5.2</t>
        </is>
      </c>
      <c r="B30" s="19" t="inlineStr">
        <is>
          <t>Piso porcelanato retificado 60x60</t>
        </is>
      </c>
      <c r="C30" s="18" t="inlineStr">
        <is>
          <t>m²</t>
        </is>
      </c>
      <c r="D30" s="20" t="n">
        <v>86.09999999999999</v>
      </c>
      <c r="E30" s="21" t="n"/>
      <c r="F30" s="21" t="n"/>
      <c r="G30" s="22">
        <f>D30*(E30+F30)</f>
        <v/>
      </c>
      <c r="H30" s="23" t="inlineStr">
        <is>
          <t>⚠ ESTIMADO — revisar. Fonte: hachura do layer 'PISO-PORCELANATO' = 86,10 m², somando vários ambientes. Confira ambiente por ambiente se o acabamento é o mesmo.</t>
        </is>
      </c>
      <c r="I30" s="24" t="inlineStr">
        <is>
          <t>hachura do layer 'PISO-PORCELANATO' = 86,10 m², somando vários ambientes</t>
        </is>
      </c>
      <c r="J30" s="25" t="inlineStr"/>
      <c r="K30" s="26" t="inlineStr">
        <is>
          <t>SINAPI 87263 (conf. alta)</t>
        </is>
      </c>
    </row>
    <row r="31">
      <c r="A31" s="30" t="inlineStr">
        <is>
          <t>5.3</t>
        </is>
      </c>
      <c r="B31" s="23" t="inlineStr">
        <is>
          <t>Rodapé em porcelanato h=7cm</t>
        </is>
      </c>
      <c r="C31" s="30" t="inlineStr">
        <is>
          <t>m</t>
        </is>
      </c>
      <c r="D31" s="31" t="n">
        <v>84.59999999999999</v>
      </c>
      <c r="E31" s="21" t="n"/>
      <c r="F31" s="21" t="n"/>
      <c r="G31" s="22">
        <f>D31*(E31+F31)</f>
        <v/>
      </c>
      <c r="H31" s="23" t="inlineStr">
        <is>
          <t>✓ MEDIDO do CAD. Fonte: comprimento do layer 'ARQ-RODAPE' = 84,60 m</t>
        </is>
      </c>
      <c r="I31" s="24" t="inlineStr">
        <is>
          <t>comprimento do layer 'ARQ-RODAPE' = 84,60 m</t>
        </is>
      </c>
      <c r="J31" s="25" t="inlineStr"/>
      <c r="K31" s="26" t="inlineStr">
        <is>
          <t>SINAPI ~88650 (conf. alta)</t>
        </is>
      </c>
    </row>
    <row r="32">
      <c r="A32" s="18" t="inlineStr">
        <is>
          <t>5.4</t>
        </is>
      </c>
      <c r="B32" s="19" t="inlineStr">
        <is>
          <t>Piso vinílico em manta (sala de reunião)</t>
        </is>
      </c>
      <c r="C32" s="18" t="inlineStr">
        <is>
          <t>m²</t>
        </is>
      </c>
      <c r="D32" s="20" t="n">
        <v>22.2</v>
      </c>
      <c r="E32" s="21" t="n"/>
      <c r="F32" s="21" t="n"/>
      <c r="G32" s="22">
        <f>D32*(E32+F32)</f>
        <v/>
      </c>
      <c r="H32" s="23" t="inlineStr">
        <is>
          <t>⚠ ESTIMADO — revisar. Fonte: hachura do layer 'PISO-VINILICO' = 22,20 m². Confira na planta se a manta cobre a sala de reunião inteira.</t>
        </is>
      </c>
      <c r="I32" s="24" t="inlineStr">
        <is>
          <t>hachura do layer 'PISO-VINILICO' = 22,20 m²</t>
        </is>
      </c>
      <c r="J32" s="25" t="inlineStr"/>
      <c r="K32" s="26" t="inlineStr">
        <is>
          <t>SINAPI 101728 (conf. alta)</t>
        </is>
      </c>
    </row>
    <row r="33">
      <c r="A33" s="18" t="inlineStr">
        <is>
          <t>5.5</t>
        </is>
      </c>
      <c r="B33" s="19" t="inlineStr">
        <is>
          <t>Soleira de granito nas portas (largura 15 cm)</t>
        </is>
      </c>
      <c r="C33" s="18" t="inlineStr">
        <is>
          <t>m</t>
        </is>
      </c>
      <c r="D33" s="20" t="n">
        <v>4.8</v>
      </c>
      <c r="E33" s="21" t="n"/>
      <c r="F33" s="21" t="n"/>
      <c r="G33" s="22">
        <f>D33*(E33+F33)</f>
        <v/>
      </c>
      <c r="H33" s="23" t="inlineStr">
        <is>
          <t>⚠ ESTIMADO — revisar</t>
        </is>
      </c>
      <c r="I33" s="24" t="inlineStr">
        <is>
          <t>não medido — a IA identificou o item; a quantidade é sua</t>
        </is>
      </c>
      <c r="J33" s="25" t="inlineStr"/>
      <c r="K33" s="26" t="inlineStr">
        <is>
          <t>SINAPI 98689 (conf. alta)</t>
        </is>
      </c>
    </row>
    <row r="34">
      <c r="A34" s="27" t="inlineStr">
        <is>
          <t>SUBTOTAL 5 — PISOS E RODAPÉS</t>
        </is>
      </c>
      <c r="B34" s="28" t="n"/>
      <c r="C34" s="28" t="n"/>
      <c r="D34" s="28" t="n"/>
      <c r="E34" s="28" t="n"/>
      <c r="F34" s="28" t="n"/>
      <c r="G34" s="29">
        <f>SUM(G29:G33)</f>
        <v/>
      </c>
      <c r="H34" s="28" t="n"/>
      <c r="I34" s="28" t="n"/>
    </row>
    <row r="35">
      <c r="A35" s="9" t="inlineStr">
        <is>
          <t>6. FORROS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18" t="inlineStr">
        <is>
          <t>6.1</t>
        </is>
      </c>
      <c r="B36" s="19" t="inlineStr">
        <is>
          <t>Forro de gesso acartonado liso</t>
        </is>
      </c>
      <c r="C36" s="18" t="inlineStr">
        <is>
          <t>m²</t>
        </is>
      </c>
      <c r="D36" s="20" t="n">
        <v>101.7</v>
      </c>
      <c r="E36" s="21" t="n"/>
      <c r="F36" s="21" t="n"/>
      <c r="G36" s="22">
        <f>D36*(E36+F36)</f>
        <v/>
      </c>
      <c r="H36" s="23" t="inlineStr">
        <is>
          <t>⚠ ESTIMADO — revisar. Fonte: hachura do layer 'FORRO-GESSO' = 101,70 m², somando vários ambientes. Confira se todos levam o mesmo forro.</t>
        </is>
      </c>
      <c r="I36" s="24" t="inlineStr">
        <is>
          <t>hachura do layer 'FORRO-GESSO' = 101,70 m², somando vários ambientes</t>
        </is>
      </c>
      <c r="J36" s="25" t="inlineStr"/>
      <c r="K36" s="26" t="inlineStr">
        <is>
          <t>SINAPI ~96114 (conf. alta)</t>
        </is>
      </c>
    </row>
    <row r="37">
      <c r="A37" s="18" t="inlineStr">
        <is>
          <t>6.2</t>
        </is>
      </c>
      <c r="B37" s="19" t="inlineStr">
        <is>
          <t>Sanca de gesso perimetral</t>
        </is>
      </c>
      <c r="C37" s="18" t="inlineStr">
        <is>
          <t>m</t>
        </is>
      </c>
      <c r="D37" s="20" t="n">
        <v>46</v>
      </c>
      <c r="E37" s="21" t="n"/>
      <c r="F37" s="21" t="n"/>
      <c r="G37" s="22">
        <f>D37*(E37+F37)</f>
        <v/>
      </c>
      <c r="H37" s="23" t="inlineStr">
        <is>
          <t>⚠ ESTIMADO — revisar. A sanca não tem layer próprio: a IA estimou o perímetro pelo contorno do forro — confira no CAD.</t>
        </is>
      </c>
      <c r="I37" s="24" t="inlineStr">
        <is>
          <t>não medido — a IA identificou o item; a quantidade é sua</t>
        </is>
      </c>
      <c r="J37" s="25" t="inlineStr"/>
      <c r="K37" s="26" t="inlineStr">
        <is>
          <t>SINAPI 99054 (conf. alta) ⚠ unidade difere (item m × SINAPI M2)</t>
        </is>
      </c>
    </row>
    <row r="38">
      <c r="A38" s="27" t="inlineStr">
        <is>
          <t>SUBTOTAL 6 — FORROS</t>
        </is>
      </c>
      <c r="B38" s="28" t="n"/>
      <c r="C38" s="28" t="n"/>
      <c r="D38" s="28" t="n"/>
      <c r="E38" s="28" t="n"/>
      <c r="F38" s="28" t="n"/>
      <c r="G38" s="29">
        <f>SUM(G36:G37)</f>
        <v/>
      </c>
      <c r="H38" s="28" t="n"/>
      <c r="I38" s="28" t="n"/>
    </row>
    <row r="39">
      <c r="A39" s="9" t="inlineStr">
        <is>
          <t>7. DIVISÓRIAS E VIDROS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30" t="inlineStr">
        <is>
          <t>7.1</t>
        </is>
      </c>
      <c r="B40" s="23" t="inlineStr">
        <is>
          <t>Porta de madeira 80x210 com batente e ferragens</t>
        </is>
      </c>
      <c r="C40" s="30" t="inlineStr">
        <is>
          <t>un</t>
        </is>
      </c>
      <c r="D40" s="31" t="n">
        <v>6</v>
      </c>
      <c r="E40" s="21" t="n"/>
      <c r="F40" s="21" t="n"/>
      <c r="G40" s="22">
        <f>D40*(E40+F40)</f>
        <v/>
      </c>
      <c r="H40" s="23" t="inlineStr">
        <is>
          <t>✓ MEDIDO do CAD. Fonte: 6 blocos 'PORTA-MAD-80X210' contados no desenho</t>
        </is>
      </c>
      <c r="I40" s="24" t="inlineStr">
        <is>
          <t>6 blocos 'PORTA-MAD-80X210' contados no desenho</t>
        </is>
      </c>
      <c r="J40" s="25" t="inlineStr"/>
      <c r="K40" s="26" t="inlineStr">
        <is>
          <t>SINAPI 91314 (conf. alta)</t>
        </is>
      </c>
    </row>
    <row r="41">
      <c r="A41" s="30" t="inlineStr">
        <is>
          <t>7.2</t>
        </is>
      </c>
      <c r="B41" s="23" t="inlineStr">
        <is>
          <t>Porta de vidro temperado 90x210</t>
        </is>
      </c>
      <c r="C41" s="30" t="inlineStr">
        <is>
          <t>un</t>
        </is>
      </c>
      <c r="D41" s="31" t="n">
        <v>2</v>
      </c>
      <c r="E41" s="21" t="n"/>
      <c r="F41" s="21" t="n"/>
      <c r="G41" s="22">
        <f>D41*(E41+F41)</f>
        <v/>
      </c>
      <c r="H41" s="23" t="inlineStr">
        <is>
          <t>✓ MEDIDO do CAD. Fonte: 2 blocos 'PORTA-VIDRO-90X210' contados no desenho</t>
        </is>
      </c>
      <c r="I41" s="24" t="inlineStr">
        <is>
          <t>2 blocos 'PORTA-VIDRO-90X210' contados no desenho</t>
        </is>
      </c>
      <c r="J41" s="25" t="inlineStr"/>
      <c r="K41" s="26" t="inlineStr">
        <is>
          <t>SINAPI 102184 (conf. alta)</t>
        </is>
      </c>
    </row>
    <row r="42">
      <c r="A42" s="27" t="inlineStr">
        <is>
          <t>SUBTOTAL 7 — DIVISÓRIAS E VIDROS</t>
        </is>
      </c>
      <c r="B42" s="28" t="n"/>
      <c r="C42" s="28" t="n"/>
      <c r="D42" s="28" t="n"/>
      <c r="E42" s="28" t="n"/>
      <c r="F42" s="28" t="n"/>
      <c r="G42" s="29">
        <f>SUM(G40:G41)</f>
        <v/>
      </c>
      <c r="H42" s="28" t="n"/>
      <c r="I42" s="28" t="n"/>
    </row>
    <row r="43">
      <c r="A43" s="9" t="inlineStr">
        <is>
          <t>8. ILUMINAÇÃO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30" t="inlineStr">
        <is>
          <t>8.1</t>
        </is>
      </c>
      <c r="B44" s="23" t="inlineStr">
        <is>
          <t>Luminária LED de embutir 60x60</t>
        </is>
      </c>
      <c r="C44" s="30" t="inlineStr">
        <is>
          <t>un</t>
        </is>
      </c>
      <c r="D44" s="31" t="n">
        <v>24</v>
      </c>
      <c r="E44" s="21" t="n"/>
      <c r="F44" s="21" t="n"/>
      <c r="G44" s="22">
        <f>D44*(E44+F44)</f>
        <v/>
      </c>
      <c r="H44" s="23" t="inlineStr">
        <is>
          <t>✓ MEDIDO do CAD. Fonte: 24 blocos 'LUM-EMB-60X60' contados no desenho</t>
        </is>
      </c>
      <c r="I44" s="24" t="inlineStr">
        <is>
          <t>24 blocos 'LUM-EMB-60X60' contados no desenho</t>
        </is>
      </c>
      <c r="J44" s="25" t="inlineStr"/>
      <c r="K44" s="26" t="inlineStr">
        <is>
          <t>SINAPI 105542 (conf. alta)</t>
        </is>
      </c>
    </row>
    <row r="45">
      <c r="A45" s="30" t="inlineStr">
        <is>
          <t>8.2</t>
        </is>
      </c>
      <c r="B45" s="23" t="inlineStr">
        <is>
          <t>Spot LED de embutir redondo</t>
        </is>
      </c>
      <c r="C45" s="30" t="inlineStr">
        <is>
          <t>un</t>
        </is>
      </c>
      <c r="D45" s="31" t="n">
        <v>18</v>
      </c>
      <c r="E45" s="21" t="n"/>
      <c r="F45" s="21" t="n"/>
      <c r="G45" s="22">
        <f>D45*(E45+F45)</f>
        <v/>
      </c>
      <c r="H45" s="23" t="inlineStr">
        <is>
          <t>✓ MEDIDO do CAD. Fonte: 18 blocos 'SPOT-EMB-RED' contados no desenho</t>
        </is>
      </c>
      <c r="I45" s="24" t="inlineStr">
        <is>
          <t>18 blocos 'SPOT-EMB-RED' contados no desenho</t>
        </is>
      </c>
      <c r="J45" s="25" t="inlineStr"/>
      <c r="K45" s="26" t="inlineStr">
        <is>
          <t>SINAPI ~105546 (conf. alta)</t>
        </is>
      </c>
    </row>
    <row r="46">
      <c r="A46" s="30" t="inlineStr">
        <is>
          <t>8.3</t>
        </is>
      </c>
      <c r="B46" s="23" t="inlineStr">
        <is>
          <t>Pendente decorativo sobre bancada</t>
        </is>
      </c>
      <c r="C46" s="30" t="inlineStr">
        <is>
          <t>un</t>
        </is>
      </c>
      <c r="D46" s="31" t="n">
        <v>3</v>
      </c>
      <c r="E46" s="21" t="n"/>
      <c r="F46" s="21" t="n"/>
      <c r="G46" s="22">
        <f>D46*(E46+F46)</f>
        <v/>
      </c>
      <c r="H46" s="23" t="inlineStr">
        <is>
          <t>✓ MEDIDO do CAD. Fonte: 3 blocos 'PENDENTE-BANCADA' contados no desenho</t>
        </is>
      </c>
      <c r="I46" s="24" t="inlineStr">
        <is>
          <t>3 blocos 'PENDENTE-BANCADA' contados no desenho</t>
        </is>
      </c>
      <c r="J46" s="25" t="inlineStr"/>
      <c r="K46" s="26" t="inlineStr">
        <is>
          <t>SINAPI: sem correspondência forte (ver aba técnica)</t>
        </is>
      </c>
    </row>
    <row r="47">
      <c r="A47" s="27" t="inlineStr">
        <is>
          <t>SUBTOTAL 8 — ILUMINAÇÃO</t>
        </is>
      </c>
      <c r="B47" s="28" t="n"/>
      <c r="C47" s="28" t="n"/>
      <c r="D47" s="28" t="n"/>
      <c r="E47" s="28" t="n"/>
      <c r="F47" s="28" t="n"/>
      <c r="G47" s="29">
        <f>SUM(G44:G46)</f>
        <v/>
      </c>
      <c r="H47" s="28" t="n"/>
      <c r="I47" s="28" t="n"/>
    </row>
    <row r="48">
      <c r="A48" s="9" t="inlineStr">
        <is>
          <t>9. INSTALAÇÕES ELÉTRICAS E DADOS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30" t="inlineStr">
        <is>
          <t>9.1</t>
        </is>
      </c>
      <c r="B49" s="23" t="inlineStr">
        <is>
          <t>Ponto de tomada 2P+T 10A</t>
        </is>
      </c>
      <c r="C49" s="30" t="inlineStr">
        <is>
          <t>un</t>
        </is>
      </c>
      <c r="D49" s="31" t="n">
        <v>32</v>
      </c>
      <c r="E49" s="21" t="n"/>
      <c r="F49" s="21" t="n"/>
      <c r="G49" s="22">
        <f>D49*(E49+F49)</f>
        <v/>
      </c>
      <c r="H49" s="23" t="inlineStr">
        <is>
          <t>✓ MEDIDO do CAD. Fonte: 32 blocos 'TOM-2P+T-10A' contados no desenho</t>
        </is>
      </c>
      <c r="I49" s="24" t="inlineStr">
        <is>
          <t>32 blocos 'TOM-2P+T-10A' contados no desenho</t>
        </is>
      </c>
      <c r="J49" s="25" t="inlineStr"/>
      <c r="K49" s="26" t="inlineStr">
        <is>
          <t>SINAPI 91996 (conf. alta)</t>
        </is>
      </c>
    </row>
    <row r="50">
      <c r="A50" s="30" t="inlineStr">
        <is>
          <t>9.2</t>
        </is>
      </c>
      <c r="B50" s="23" t="inlineStr">
        <is>
          <t>Ponto de interruptor</t>
        </is>
      </c>
      <c r="C50" s="30" t="inlineStr">
        <is>
          <t>un</t>
        </is>
      </c>
      <c r="D50" s="31" t="n">
        <v>14</v>
      </c>
      <c r="E50" s="21" t="n"/>
      <c r="F50" s="21" t="n"/>
      <c r="G50" s="22">
        <f>D50*(E50+F50)</f>
        <v/>
      </c>
      <c r="H50" s="23" t="inlineStr">
        <is>
          <t>✓ MEDIDO do CAD. Fonte: 14 blocos 'INTERRUPTOR' contados no desenho</t>
        </is>
      </c>
      <c r="I50" s="24" t="inlineStr">
        <is>
          <t>14 blocos 'INTERRUPTOR' contados no desenho</t>
        </is>
      </c>
      <c r="J50" s="25" t="inlineStr"/>
      <c r="K50" s="26" t="inlineStr">
        <is>
          <t>SINAPI ~91952 (conf. alta)</t>
        </is>
      </c>
    </row>
    <row r="51">
      <c r="A51" s="30" t="inlineStr">
        <is>
          <t>9.3</t>
        </is>
      </c>
      <c r="B51" s="23" t="inlineStr">
        <is>
          <t>Ponto de rede/dados RJ45 cat6</t>
        </is>
      </c>
      <c r="C51" s="30" t="inlineStr">
        <is>
          <t>un</t>
        </is>
      </c>
      <c r="D51" s="31" t="n">
        <v>20</v>
      </c>
      <c r="E51" s="21" t="n"/>
      <c r="F51" s="21" t="n"/>
      <c r="G51" s="22">
        <f>D51*(E51+F51)</f>
        <v/>
      </c>
      <c r="H51" s="23" t="inlineStr">
        <is>
          <t>✓ MEDIDO do CAD. Fonte: 20 blocos 'PT-REDE-RJ45' contados no desenho</t>
        </is>
      </c>
      <c r="I51" s="24" t="inlineStr">
        <is>
          <t>20 blocos 'PT-REDE-RJ45' contados no desenho</t>
        </is>
      </c>
      <c r="J51" s="25" t="inlineStr"/>
      <c r="K51" s="26" t="inlineStr">
        <is>
          <t>SINAPI 106077 (conf. alta)</t>
        </is>
      </c>
    </row>
    <row r="52">
      <c r="A52" s="18" t="inlineStr">
        <is>
          <t>9.4</t>
        </is>
      </c>
      <c r="B52" s="19" t="inlineStr">
        <is>
          <t>Eletroduto flexível corrugado DN 25 no forro (pontos novos)</t>
        </is>
      </c>
      <c r="C52" s="18" t="inlineStr">
        <is>
          <t>m</t>
        </is>
      </c>
      <c r="D52" s="20" t="n"/>
      <c r="E52" s="21" t="n"/>
      <c r="F52" s="21" t="n"/>
      <c r="G52" s="22">
        <f>D52*(E52+F52)</f>
        <v/>
      </c>
      <c r="H52" s="23" t="inlineStr">
        <is>
          <t>⚠ ESTIMADO — revisar. Os pontos foram contados (tomadas, interruptores e rede), mas o caminho dos eletrodutos não está desenhado: sem traçado, não há comprimento. Preencha pelo projeto de elétrica.</t>
        </is>
      </c>
      <c r="I52" s="24" t="inlineStr">
        <is>
          <t>não medido — a IA identificou o item; a quantidade é sua</t>
        </is>
      </c>
      <c r="J52" s="25" t="inlineStr"/>
      <c r="K52" s="26" t="inlineStr">
        <is>
          <t>SINAPI 91834 (conf. alta)</t>
        </is>
      </c>
    </row>
    <row r="53">
      <c r="A53" s="27" t="inlineStr">
        <is>
          <t>SUBTOTAL 9 — INSTALAÇÕES ELÉTRICAS E DADOS</t>
        </is>
      </c>
      <c r="B53" s="28" t="n"/>
      <c r="C53" s="28" t="n"/>
      <c r="D53" s="28" t="n"/>
      <c r="E53" s="28" t="n"/>
      <c r="F53" s="28" t="n"/>
      <c r="G53" s="29">
        <f>SUM(G49:G52)</f>
        <v/>
      </c>
      <c r="H53" s="28" t="n"/>
      <c r="I53" s="28" t="n"/>
    </row>
    <row r="54">
      <c r="A54" s="9" t="inlineStr">
        <is>
          <t>10. INSTALAÇÕES HIDRÁULICAS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18" t="inlineStr">
        <is>
          <t>10.1</t>
        </is>
      </c>
      <c r="B55" s="19" t="inlineStr">
        <is>
          <t>Bacia sanitária com caixa acoplada</t>
        </is>
      </c>
      <c r="C55" s="18" t="inlineStr">
        <is>
          <t>un</t>
        </is>
      </c>
      <c r="D55" s="20" t="n">
        <v>3</v>
      </c>
      <c r="E55" s="21" t="n"/>
      <c r="F55" s="21" t="n"/>
      <c r="G55" s="22">
        <f>D55*(E55+F55)</f>
        <v/>
      </c>
      <c r="H55" s="23" t="inlineStr">
        <is>
          <t>⚠ ESTIMADO — revisar. Fonte: texto layer 'ARQ-TEXTO' — 'SANITÁRIOS: 3 BACIAS C/ CAIXA ACOPLADA'. Texto é declaração, não medição: não há bloco no desenho.</t>
        </is>
      </c>
      <c r="I55" s="24" t="inlineStr">
        <is>
          <t>texto layer 'ARQ-TEXTO' — 'SANITÁRIOS: 3 BACIAS C/ CAIXA ACOPLADA'</t>
        </is>
      </c>
      <c r="J55" s="25" t="inlineStr"/>
      <c r="K55" s="26" t="inlineStr">
        <is>
          <t>SINAPI 86888 (conf. alta)</t>
        </is>
      </c>
    </row>
    <row r="56">
      <c r="A56" s="18" t="inlineStr">
        <is>
          <t>10.2</t>
        </is>
      </c>
      <c r="B56" s="19" t="inlineStr">
        <is>
          <t>Cuba de apoio + torneira (copa)</t>
        </is>
      </c>
      <c r="C56" s="18" t="inlineStr">
        <is>
          <t>un</t>
        </is>
      </c>
      <c r="D56" s="20" t="n">
        <v>1</v>
      </c>
      <c r="E56" s="21" t="n"/>
      <c r="F56" s="21" t="n"/>
      <c r="G56" s="22">
        <f>D56*(E56+F56)</f>
        <v/>
      </c>
      <c r="H56" s="23" t="inlineStr">
        <is>
          <t>⚠ ESTIMADO — revisar. Fonte: texto layer 'ARQ-TEXTO' — 'COPA: CUBA DE APOIO C/ TORNEIRA'. Texto é declaração, não medição: não há bloco no desenho.</t>
        </is>
      </c>
      <c r="I56" s="24" t="inlineStr">
        <is>
          <t>texto layer 'ARQ-TEXTO' — 'COPA: CUBA DE APOIO C/ TORNEIRA'</t>
        </is>
      </c>
      <c r="J56" s="25" t="inlineStr"/>
      <c r="K56" s="26" t="inlineStr">
        <is>
          <t>SINAPI: sem correspondência forte (ver aba técnica)</t>
        </is>
      </c>
    </row>
    <row r="57">
      <c r="A57" s="27" t="inlineStr">
        <is>
          <t>SUBTOTAL 10 — INSTALAÇÕES HIDRÁULICAS</t>
        </is>
      </c>
      <c r="B57" s="28" t="n"/>
      <c r="C57" s="28" t="n"/>
      <c r="D57" s="28" t="n"/>
      <c r="E57" s="28" t="n"/>
      <c r="F57" s="28" t="n"/>
      <c r="G57" s="29">
        <f>SUM(G55:G56)</f>
        <v/>
      </c>
      <c r="H57" s="28" t="n"/>
      <c r="I57" s="28" t="n"/>
    </row>
    <row r="58">
      <c r="A58" s="9" t="inlineStr">
        <is>
          <t>11. AR-CONDICIONADO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</row>
    <row r="59">
      <c r="A59" s="30" t="inlineStr">
        <is>
          <t>11.1</t>
        </is>
      </c>
      <c r="B59" s="23" t="inlineStr">
        <is>
          <t>Ar-condicionado split cassete 36.000 BTU</t>
        </is>
      </c>
      <c r="C59" s="30" t="inlineStr">
        <is>
          <t>un</t>
        </is>
      </c>
      <c r="D59" s="31" t="n">
        <v>2</v>
      </c>
      <c r="E59" s="21" t="n"/>
      <c r="F59" s="21" t="n"/>
      <c r="G59" s="22">
        <f>D59*(E59+F59)</f>
        <v/>
      </c>
      <c r="H59" s="23" t="inlineStr">
        <is>
          <t>✓ MEDIDO do CAD. Fonte: 2 blocos 'AC-CASSETE-36K' contados no desenho</t>
        </is>
      </c>
      <c r="I59" s="24" t="inlineStr">
        <is>
          <t>2 blocos 'AC-CASSETE-36K' contados no desenho</t>
        </is>
      </c>
      <c r="J59" s="25" t="inlineStr"/>
      <c r="K59" s="26" t="inlineStr">
        <is>
          <t>SINAPI 103271 (conf. alta)</t>
        </is>
      </c>
    </row>
    <row r="60">
      <c r="A60" s="27" t="inlineStr">
        <is>
          <t>SUBTOTAL 11 — AR-CONDICIONADO</t>
        </is>
      </c>
      <c r="B60" s="28" t="n"/>
      <c r="C60" s="28" t="n"/>
      <c r="D60" s="28" t="n"/>
      <c r="E60" s="28" t="n"/>
      <c r="F60" s="28" t="n"/>
      <c r="G60" s="29">
        <f>SUM(G59:G59)</f>
        <v/>
      </c>
      <c r="H60" s="28" t="n"/>
      <c r="I60" s="28" t="n"/>
    </row>
    <row r="62">
      <c r="A62" s="32" t="inlineStr">
        <is>
          <t>SUGESTÕES POR TIPO DE PROJETO (itens que NÃO aparecem nas pranchas)</t>
        </is>
      </c>
      <c r="B62" s="32" t="n"/>
      <c r="C62" s="32" t="n"/>
      <c r="D62" s="32" t="n"/>
      <c r="E62" s="32" t="n"/>
      <c r="F62" s="32" t="n"/>
      <c r="G62" s="32" t="n"/>
      <c r="H62" s="32" t="n"/>
      <c r="I62" s="32" t="n"/>
    </row>
    <row r="63">
      <c r="A63" s="33" t="inlineStr">
        <is>
          <t>Itens que não constam nas pranchas — são custos de gestão e execução típicos de obras.</t>
        </is>
      </c>
    </row>
    <row r="64">
      <c r="A64" s="34" t="inlineStr">
        <is>
          <t>S.1</t>
        </is>
      </c>
      <c r="B64" s="35" t="inlineStr">
        <is>
          <t>Equipe técnica — Gerente de contrato / PMO</t>
        </is>
      </c>
      <c r="C64" s="34" t="inlineStr">
        <is>
          <t>mês</t>
        </is>
      </c>
      <c r="D64" s="36" t="n"/>
      <c r="E64" s="37" t="n"/>
      <c r="F64" s="37" t="n"/>
      <c r="G64" s="38">
        <f>D64*(E64+F64)</f>
        <v/>
      </c>
      <c r="H64" s="35" t="inlineStr">
        <is>
          <t>Preencher conforme prazo da obra</t>
        </is>
      </c>
      <c r="I64" s="39" t="inlineStr">
        <is>
          <t>—</t>
        </is>
      </c>
      <c r="J64" s="40" t="inlineStr"/>
      <c r="K64" s="41" t="inlineStr">
        <is>
          <t>Experiência</t>
        </is>
      </c>
    </row>
    <row r="65">
      <c r="A65" s="34" t="inlineStr">
        <is>
          <t>S.2</t>
        </is>
      </c>
      <c r="B65" s="35" t="inlineStr">
        <is>
          <t>Equipe técnica — Engenheiro de campo residente</t>
        </is>
      </c>
      <c r="C65" s="34" t="inlineStr">
        <is>
          <t>mês</t>
        </is>
      </c>
      <c r="D65" s="36" t="n"/>
      <c r="E65" s="37" t="n"/>
      <c r="F65" s="37" t="n"/>
      <c r="G65" s="38">
        <f>D65*(E65+F65)</f>
        <v/>
      </c>
      <c r="H65" s="35" t="inlineStr">
        <is>
          <t>Preencher conforme prazo da obra</t>
        </is>
      </c>
      <c r="I65" s="39" t="inlineStr">
        <is>
          <t>—</t>
        </is>
      </c>
      <c r="J65" s="40" t="inlineStr"/>
      <c r="K65" s="41" t="inlineStr">
        <is>
          <t>Experiência</t>
        </is>
      </c>
    </row>
    <row r="66">
      <c r="A66" s="34" t="inlineStr">
        <is>
          <t>S.3</t>
        </is>
      </c>
      <c r="B66" s="35" t="inlineStr">
        <is>
          <t>Equipe técnica — Engenheiro de instalações</t>
        </is>
      </c>
      <c r="C66" s="34" t="inlineStr">
        <is>
          <t>mês</t>
        </is>
      </c>
      <c r="D66" s="36" t="n"/>
      <c r="E66" s="37" t="n"/>
      <c r="F66" s="37" t="n"/>
      <c r="G66" s="38">
        <f>D66*(E66+F66)</f>
        <v/>
      </c>
      <c r="H66" s="35" t="inlineStr">
        <is>
          <t>Se houver instalações complexas</t>
        </is>
      </c>
      <c r="I66" s="39" t="inlineStr">
        <is>
          <t>—</t>
        </is>
      </c>
      <c r="J66" s="40" t="inlineStr"/>
      <c r="K66" s="41" t="inlineStr">
        <is>
          <t>Experiência</t>
        </is>
      </c>
    </row>
    <row r="67">
      <c r="A67" s="34" t="inlineStr">
        <is>
          <t>S.4</t>
        </is>
      </c>
      <c r="B67" s="35" t="inlineStr">
        <is>
          <t>Equipe técnica — Mestre de obras residente</t>
        </is>
      </c>
      <c r="C67" s="34" t="inlineStr">
        <is>
          <t>mês</t>
        </is>
      </c>
      <c r="D67" s="36" t="n"/>
      <c r="E67" s="37" t="n"/>
      <c r="F67" s="37" t="n"/>
      <c r="G67" s="38">
        <f>D67*(E67+F67)</f>
        <v/>
      </c>
      <c r="H67" s="35" t="inlineStr">
        <is>
          <t>Preencher conforme prazo da obra</t>
        </is>
      </c>
      <c r="I67" s="39" t="inlineStr">
        <is>
          <t>—</t>
        </is>
      </c>
      <c r="J67" s="40" t="inlineStr"/>
      <c r="K67" s="41" t="inlineStr">
        <is>
          <t>Experiência</t>
        </is>
      </c>
    </row>
    <row r="68">
      <c r="A68" s="34" t="inlineStr">
        <is>
          <t>S.5</t>
        </is>
      </c>
      <c r="B68" s="35" t="inlineStr">
        <is>
          <t>Equipe técnica — Técnico de Segurança do Trabalho</t>
        </is>
      </c>
      <c r="C68" s="34" t="inlineStr">
        <is>
          <t>mês</t>
        </is>
      </c>
      <c r="D68" s="36" t="n"/>
      <c r="E68" s="37" t="n"/>
      <c r="F68" s="37" t="n"/>
      <c r="G68" s="38">
        <f>D68*(E68+F68)</f>
        <v/>
      </c>
      <c r="H68" s="35" t="inlineStr">
        <is>
          <t>Visita semanal típica</t>
        </is>
      </c>
      <c r="I68" s="39" t="inlineStr">
        <is>
          <t>—</t>
        </is>
      </c>
      <c r="J68" s="40" t="inlineStr"/>
      <c r="K68" s="41" t="inlineStr">
        <is>
          <t>Experiência</t>
        </is>
      </c>
    </row>
    <row r="69">
      <c r="A69" s="34" t="inlineStr">
        <is>
          <t>S.6</t>
        </is>
      </c>
      <c r="B69" s="35" t="inlineStr">
        <is>
          <t>Equipe técnica — Auxiliar administrativo</t>
        </is>
      </c>
      <c r="C69" s="34" t="inlineStr">
        <is>
          <t>mês</t>
        </is>
      </c>
      <c r="D69" s="36" t="n"/>
      <c r="E69" s="37" t="n"/>
      <c r="F69" s="37" t="n"/>
      <c r="G69" s="38">
        <f>D69*(E69+F69)</f>
        <v/>
      </c>
      <c r="H69" s="35" t="inlineStr">
        <is>
          <t>Apoio administrativo de obra</t>
        </is>
      </c>
      <c r="I69" s="39" t="inlineStr">
        <is>
          <t>—</t>
        </is>
      </c>
      <c r="J69" s="40" t="inlineStr"/>
      <c r="K69" s="41" t="inlineStr">
        <is>
          <t>Experiência</t>
        </is>
      </c>
    </row>
    <row r="70">
      <c r="A70" s="34" t="inlineStr">
        <is>
          <t>S.7</t>
        </is>
      </c>
      <c r="B70" s="35" t="inlineStr">
        <is>
          <t>Serventia — ajudante geral de obra (seg-sex)</t>
        </is>
      </c>
      <c r="C70" s="34" t="inlineStr">
        <is>
          <t>dia</t>
        </is>
      </c>
      <c r="D70" s="36" t="n"/>
      <c r="E70" s="37" t="n"/>
      <c r="F70" s="37" t="n"/>
      <c r="G70" s="38">
        <f>D70*(E70+F70)</f>
        <v/>
      </c>
      <c r="H70" s="35" t="inlineStr">
        <is>
          <t>Preencher conforme prazo da obra</t>
        </is>
      </c>
      <c r="I70" s="39" t="inlineStr">
        <is>
          <t>—</t>
        </is>
      </c>
      <c r="J70" s="40" t="inlineStr"/>
      <c r="K70" s="41" t="inlineStr">
        <is>
          <t>Experiência</t>
        </is>
      </c>
    </row>
    <row r="71">
      <c r="A71" s="34" t="inlineStr">
        <is>
          <t>S.8</t>
        </is>
      </c>
      <c r="B71" s="35" t="inlineStr">
        <is>
          <t>Caçambas de entulho (classe A + classe C)</t>
        </is>
      </c>
      <c r="C71" s="34" t="inlineStr">
        <is>
          <t>un</t>
        </is>
      </c>
      <c r="D71" s="36" t="n"/>
      <c r="E71" s="37" t="n"/>
      <c r="F71" s="37" t="n"/>
      <c r="G71" s="38">
        <f>D71*(E71+F71)</f>
        <v/>
      </c>
      <c r="H71" s="35" t="inlineStr">
        <is>
          <t>Conforme volume de resíduos do projeto</t>
        </is>
      </c>
      <c r="I71" s="39" t="inlineStr">
        <is>
          <t>—</t>
        </is>
      </c>
      <c r="J71" s="40" t="inlineStr"/>
      <c r="K71" s="41" t="inlineStr">
        <is>
          <t>Experiência</t>
        </is>
      </c>
    </row>
    <row r="72">
      <c r="A72" s="34" t="inlineStr">
        <is>
          <t>S.9</t>
        </is>
      </c>
      <c r="B72" s="35" t="inlineStr">
        <is>
          <t>Limpeza permanente de obra</t>
        </is>
      </c>
      <c r="C72" s="34" t="inlineStr">
        <is>
          <t>dia</t>
        </is>
      </c>
      <c r="D72" s="36" t="n"/>
      <c r="E72" s="37" t="n"/>
      <c r="F72" s="37" t="n"/>
      <c r="G72" s="38">
        <f>D72*(E72+F72)</f>
        <v/>
      </c>
      <c r="H72" s="35" t="inlineStr">
        <is>
          <t>Preencher conforme prazo da obra</t>
        </is>
      </c>
      <c r="I72" s="39" t="inlineStr">
        <is>
          <t>—</t>
        </is>
      </c>
      <c r="J72" s="40" t="inlineStr"/>
      <c r="K72" s="41" t="inlineStr">
        <is>
          <t>Experiência</t>
        </is>
      </c>
    </row>
    <row r="73">
      <c r="A73" s="34" t="inlineStr">
        <is>
          <t>S.10</t>
        </is>
      </c>
      <c r="B73" s="35" t="inlineStr">
        <is>
          <t>Limpeza fina pré-entrega</t>
        </is>
      </c>
      <c r="C73" s="34" t="inlineStr">
        <is>
          <t>m²</t>
        </is>
      </c>
      <c r="D73" s="36" t="n"/>
      <c r="E73" s="37" t="n"/>
      <c r="F73" s="37" t="n"/>
      <c r="G73" s="38">
        <f>D73*(E73+F73)</f>
        <v/>
      </c>
      <c r="H73" s="35" t="inlineStr">
        <is>
          <t>Área total de intervenção</t>
        </is>
      </c>
      <c r="I73" s="39" t="inlineStr">
        <is>
          <t>—</t>
        </is>
      </c>
      <c r="J73" s="40" t="inlineStr"/>
      <c r="K73" s="41" t="inlineStr">
        <is>
          <t>Experiência</t>
        </is>
      </c>
    </row>
    <row r="74">
      <c r="A74" s="34" t="inlineStr">
        <is>
          <t>S.11</t>
        </is>
      </c>
      <c r="B74" s="35" t="inlineStr">
        <is>
          <t>Seguro de obra e responsabilidade civil</t>
        </is>
      </c>
      <c r="C74" s="34" t="inlineStr">
        <is>
          <t>vb</t>
        </is>
      </c>
      <c r="D74" s="36" t="n"/>
      <c r="E74" s="37" t="n"/>
      <c r="F74" s="37" t="n"/>
      <c r="G74" s="38">
        <f>D74*(E74+F74)</f>
        <v/>
      </c>
      <c r="H74" s="35" t="inlineStr">
        <is>
          <t>Valor conforme porte da obra</t>
        </is>
      </c>
      <c r="I74" s="39" t="inlineStr">
        <is>
          <t>—</t>
        </is>
      </c>
      <c r="J74" s="40" t="inlineStr"/>
      <c r="K74" s="41" t="inlineStr">
        <is>
          <t>Experiência</t>
        </is>
      </c>
    </row>
    <row r="75">
      <c r="A75" s="34" t="inlineStr">
        <is>
          <t>S.12</t>
        </is>
      </c>
      <c r="B75" s="35" t="inlineStr">
        <is>
          <t>As-built (elétrica, hidráulica, AC quando houver)</t>
        </is>
      </c>
      <c r="C75" s="34" t="inlineStr">
        <is>
          <t>vb</t>
        </is>
      </c>
      <c r="D75" s="36" t="n"/>
      <c r="E75" s="37" t="n"/>
      <c r="F75" s="37" t="n"/>
      <c r="G75" s="38">
        <f>D75*(E75+F75)</f>
        <v/>
      </c>
      <c r="H75" s="35" t="inlineStr">
        <is>
          <t>Conforme escopo do projeto</t>
        </is>
      </c>
      <c r="I75" s="39" t="inlineStr">
        <is>
          <t>—</t>
        </is>
      </c>
      <c r="J75" s="40" t="inlineStr"/>
      <c r="K75" s="41" t="inlineStr">
        <is>
          <t>Experiência</t>
        </is>
      </c>
    </row>
    <row r="76">
      <c r="A76" s="34" t="inlineStr">
        <is>
          <t>S.13</t>
        </is>
      </c>
      <c r="B76" s="35" t="inlineStr">
        <is>
          <t>Fee / Administração de obra</t>
        </is>
      </c>
      <c r="C76" s="34" t="inlineStr">
        <is>
          <t>%</t>
        </is>
      </c>
      <c r="D76" s="36" t="n"/>
      <c r="E76" s="37" t="n"/>
      <c r="F76" s="37" t="n"/>
      <c r="G76" s="38" t="inlineStr">
        <is>
          <t>Calcular sobre o total</t>
        </is>
      </c>
      <c r="H76" s="35" t="inlineStr">
        <is>
          <t>Percentual conforme contrato</t>
        </is>
      </c>
      <c r="I76" s="39" t="inlineStr">
        <is>
          <t>—</t>
        </is>
      </c>
      <c r="J76" s="40" t="inlineStr"/>
      <c r="K76" s="41" t="inlineStr">
        <is>
          <t>Experiência</t>
        </is>
      </c>
    </row>
    <row r="77">
      <c r="A77" s="34" t="inlineStr">
        <is>
          <t>S.14</t>
        </is>
      </c>
      <c r="B77" s="35" t="inlineStr">
        <is>
          <t>Impostos sobre faturamento</t>
        </is>
      </c>
      <c r="C77" s="34" t="inlineStr">
        <is>
          <t>%</t>
        </is>
      </c>
      <c r="D77" s="36" t="n"/>
      <c r="E77" s="37" t="n"/>
      <c r="F77" s="37" t="n"/>
      <c r="G77" s="38" t="inlineStr">
        <is>
          <t>Calcular sobre o total</t>
        </is>
      </c>
      <c r="H77" s="35" t="inlineStr">
        <is>
          <t>Conforme regime tributário</t>
        </is>
      </c>
      <c r="I77" s="39" t="inlineStr">
        <is>
          <t>—</t>
        </is>
      </c>
      <c r="J77" s="40" t="inlineStr"/>
      <c r="K77" s="41" t="inlineStr">
        <is>
          <t>Experiência</t>
        </is>
      </c>
    </row>
    <row r="78">
      <c r="A78" s="34" t="inlineStr">
        <is>
          <t>S.15</t>
        </is>
      </c>
      <c r="B78" s="35" t="inlineStr">
        <is>
          <t>Gerenciamento de terceiros (marcenaria, divisórias, acabamentos)</t>
        </is>
      </c>
      <c r="C78" s="34" t="inlineStr">
        <is>
          <t>vb</t>
        </is>
      </c>
      <c r="D78" s="36" t="n"/>
      <c r="E78" s="37" t="n"/>
      <c r="F78" s="37" t="n"/>
      <c r="G78" s="38">
        <f>D78*(E78+F78)</f>
        <v/>
      </c>
      <c r="H78" s="35" t="inlineStr">
        <is>
          <t>Quando houver terceiros no escopo</t>
        </is>
      </c>
      <c r="I78" s="39" t="inlineStr">
        <is>
          <t>—</t>
        </is>
      </c>
      <c r="J78" s="40" t="inlineStr"/>
      <c r="K78" s="41" t="inlineStr">
        <is>
          <t>Experiência</t>
        </is>
      </c>
    </row>
    <row r="79">
      <c r="A79" s="34" t="inlineStr">
        <is>
          <t>S.16</t>
        </is>
      </c>
      <c r="B79" s="35" t="inlineStr">
        <is>
          <t>Certificação de todos os pontos elétricos</t>
        </is>
      </c>
      <c r="C79" s="34" t="inlineStr">
        <is>
          <t>vb</t>
        </is>
      </c>
      <c r="D79" s="36" t="n"/>
      <c r="E79" s="37" t="n"/>
      <c r="F79" s="37" t="n"/>
      <c r="G79" s="38">
        <f>D79*(E79+F79)</f>
        <v/>
      </c>
      <c r="H79" s="35" t="inlineStr">
        <is>
          <t>Verificar exigência do condomínio corporativo</t>
        </is>
      </c>
      <c r="I79" s="39" t="inlineStr">
        <is>
          <t>—</t>
        </is>
      </c>
      <c r="J79" s="40" t="inlineStr"/>
      <c r="K79" s="41" t="inlineStr">
        <is>
          <t>Experiência</t>
        </is>
      </c>
    </row>
    <row r="80">
      <c r="A80" s="34" t="inlineStr">
        <is>
          <t>S.17</t>
        </is>
      </c>
      <c r="B80" s="35" t="inlineStr">
        <is>
          <t>Termografia de quadros elétricos (OPCIONAL)</t>
        </is>
      </c>
      <c r="C80" s="34" t="inlineStr">
        <is>
          <t>vb</t>
        </is>
      </c>
      <c r="D80" s="36" t="n"/>
      <c r="E80" s="37" t="n"/>
      <c r="F80" s="37" t="n"/>
      <c r="G80" s="38">
        <f>D80*(E80+F80)</f>
        <v/>
      </c>
      <c r="H80" s="35" t="inlineStr">
        <is>
          <t>Opcional — verificar necessidade</t>
        </is>
      </c>
      <c r="I80" s="39" t="inlineStr">
        <is>
          <t>—</t>
        </is>
      </c>
      <c r="J80" s="40" t="inlineStr"/>
      <c r="K80" s="41" t="inlineStr">
        <is>
          <t>Experiência</t>
        </is>
      </c>
    </row>
    <row r="81">
      <c r="A81" s="34" t="inlineStr">
        <is>
          <t>S.18</t>
        </is>
      </c>
      <c r="B81" s="35" t="inlineStr">
        <is>
          <t>FM-200 gás inerte para CPD (OPCIONAL)</t>
        </is>
      </c>
      <c r="C81" s="34" t="inlineStr">
        <is>
          <t>vb</t>
        </is>
      </c>
      <c r="D81" s="36" t="n"/>
      <c r="E81" s="37" t="n"/>
      <c r="F81" s="37" t="n"/>
      <c r="G81" s="38">
        <f>D81*(E81+F81)</f>
        <v/>
      </c>
      <c r="H81" s="35" t="inlineStr">
        <is>
          <t>Depende do projeto de PPCI</t>
        </is>
      </c>
      <c r="I81" s="39" t="inlineStr">
        <is>
          <t>—</t>
        </is>
      </c>
      <c r="J81" s="40" t="inlineStr"/>
      <c r="K81" s="41" t="inlineStr">
        <is>
          <t>Experiência</t>
        </is>
      </c>
    </row>
    <row r="82">
      <c r="A82" s="34" t="inlineStr">
        <is>
          <t>S.19</t>
        </is>
      </c>
      <c r="B82" s="35" t="inlineStr">
        <is>
          <t>Transporte vertical de mobiliário (entre andares)</t>
        </is>
      </c>
      <c r="C82" s="34" t="inlineStr">
        <is>
          <t>vb</t>
        </is>
      </c>
      <c r="D82" s="36" t="n"/>
      <c r="E82" s="37" t="n"/>
      <c r="F82" s="37" t="n"/>
      <c r="G82" s="38">
        <f>D82*(E82+F82)</f>
        <v/>
      </c>
      <c r="H82" s="35" t="inlineStr">
        <is>
          <t>Se mobiliário armazenado em outro andar</t>
        </is>
      </c>
      <c r="I82" s="39" t="inlineStr">
        <is>
          <t>—</t>
        </is>
      </c>
      <c r="J82" s="40" t="inlineStr"/>
      <c r="K82" s="41" t="inlineStr">
        <is>
          <t>Experiência</t>
        </is>
      </c>
    </row>
    <row r="83">
      <c r="A83" s="42" t="inlineStr">
        <is>
          <t>SUBTOTAL SUGESTÕES (custos indiretos e gestão)</t>
        </is>
      </c>
      <c r="B83" s="43" t="n"/>
      <c r="C83" s="43" t="n"/>
      <c r="D83" s="43" t="n"/>
      <c r="E83" s="43" t="n"/>
      <c r="F83" s="43" t="n"/>
      <c r="G83" s="44">
        <f>SUM(G64:G82)</f>
        <v/>
      </c>
      <c r="H83" s="43" t="n"/>
      <c r="I83" s="43" t="n"/>
    </row>
    <row r="85">
      <c r="A85" s="9" t="inlineStr">
        <is>
          <t>RESUMO GERAL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</row>
    <row r="86">
      <c r="A86" s="23" t="inlineStr">
        <is>
          <t>SUBTOTAL 1 — SERVIÇOS PRELIMINARES</t>
        </is>
      </c>
      <c r="B86" s="45" t="n"/>
      <c r="C86" s="45" t="n"/>
      <c r="D86" s="45" t="n"/>
      <c r="E86" s="45" t="n"/>
      <c r="F86" s="45" t="n"/>
      <c r="G86" s="22">
        <f>G14</f>
        <v/>
      </c>
      <c r="H86" s="45" t="n"/>
      <c r="I86" s="45" t="n"/>
    </row>
    <row r="87">
      <c r="A87" s="23" t="inlineStr">
        <is>
          <t>SUBTOTAL 2 — DEMOLIÇÃO E REMOÇÃO</t>
        </is>
      </c>
      <c r="B87" s="45" t="n"/>
      <c r="C87" s="45" t="n"/>
      <c r="D87" s="45" t="n"/>
      <c r="E87" s="45" t="n"/>
      <c r="F87" s="45" t="n"/>
      <c r="G87" s="22">
        <f>G18</f>
        <v/>
      </c>
      <c r="H87" s="45" t="n"/>
      <c r="I87" s="45" t="n"/>
    </row>
    <row r="88">
      <c r="A88" s="23" t="inlineStr">
        <is>
          <t>SUBTOTAL 3 — FECHAMENTOS VERTICAIS</t>
        </is>
      </c>
      <c r="B88" s="45" t="n"/>
      <c r="C88" s="45" t="n"/>
      <c r="D88" s="45" t="n"/>
      <c r="E88" s="45" t="n"/>
      <c r="F88" s="45" t="n"/>
      <c r="G88" s="22">
        <f>G22</f>
        <v/>
      </c>
      <c r="H88" s="45" t="n"/>
      <c r="I88" s="45" t="n"/>
    </row>
    <row r="89">
      <c r="A89" s="23" t="inlineStr">
        <is>
          <t>SUBTOTAL 4 — REVESTIMENTOS</t>
        </is>
      </c>
      <c r="B89" s="45" t="n"/>
      <c r="C89" s="45" t="n"/>
      <c r="D89" s="45" t="n"/>
      <c r="E89" s="45" t="n"/>
      <c r="F89" s="45" t="n"/>
      <c r="G89" s="22">
        <f>G27</f>
        <v/>
      </c>
      <c r="H89" s="45" t="n"/>
      <c r="I89" s="45" t="n"/>
    </row>
    <row r="90">
      <c r="A90" s="23" t="inlineStr">
        <is>
          <t>SUBTOTAL 5 — PISOS E RODAPÉS</t>
        </is>
      </c>
      <c r="B90" s="45" t="n"/>
      <c r="C90" s="45" t="n"/>
      <c r="D90" s="45" t="n"/>
      <c r="E90" s="45" t="n"/>
      <c r="F90" s="45" t="n"/>
      <c r="G90" s="22">
        <f>G34</f>
        <v/>
      </c>
      <c r="H90" s="45" t="n"/>
      <c r="I90" s="45" t="n"/>
    </row>
    <row r="91">
      <c r="A91" s="23" t="inlineStr">
        <is>
          <t>SUBTOTAL 6 — FORROS</t>
        </is>
      </c>
      <c r="B91" s="45" t="n"/>
      <c r="C91" s="45" t="n"/>
      <c r="D91" s="45" t="n"/>
      <c r="E91" s="45" t="n"/>
      <c r="F91" s="45" t="n"/>
      <c r="G91" s="22">
        <f>G38</f>
        <v/>
      </c>
      <c r="H91" s="45" t="n"/>
      <c r="I91" s="45" t="n"/>
    </row>
    <row r="92">
      <c r="A92" s="23" t="inlineStr">
        <is>
          <t>SUBTOTAL 7 — DIVISÓRIAS E VIDROS</t>
        </is>
      </c>
      <c r="B92" s="45" t="n"/>
      <c r="C92" s="45" t="n"/>
      <c r="D92" s="45" t="n"/>
      <c r="E92" s="45" t="n"/>
      <c r="F92" s="45" t="n"/>
      <c r="G92" s="22">
        <f>G42</f>
        <v/>
      </c>
      <c r="H92" s="45" t="n"/>
      <c r="I92" s="45" t="n"/>
    </row>
    <row r="93">
      <c r="A93" s="23" t="inlineStr">
        <is>
          <t>SUBTOTAL 8 — ILUMINAÇÃO</t>
        </is>
      </c>
      <c r="B93" s="45" t="n"/>
      <c r="C93" s="45" t="n"/>
      <c r="D93" s="45" t="n"/>
      <c r="E93" s="45" t="n"/>
      <c r="F93" s="45" t="n"/>
      <c r="G93" s="22">
        <f>G47</f>
        <v/>
      </c>
      <c r="H93" s="45" t="n"/>
      <c r="I93" s="45" t="n"/>
    </row>
    <row r="94">
      <c r="A94" s="23" t="inlineStr">
        <is>
          <t>SUBTOTAL 9 — INSTALAÇÕES ELÉTRICAS E DADOS</t>
        </is>
      </c>
      <c r="B94" s="45" t="n"/>
      <c r="C94" s="45" t="n"/>
      <c r="D94" s="45" t="n"/>
      <c r="E94" s="45" t="n"/>
      <c r="F94" s="45" t="n"/>
      <c r="G94" s="22">
        <f>G53</f>
        <v/>
      </c>
      <c r="H94" s="45" t="n"/>
      <c r="I94" s="45" t="n"/>
    </row>
    <row r="95">
      <c r="A95" s="23" t="inlineStr">
        <is>
          <t>SUBTOTAL 10 — INSTALAÇÕES HIDRÁULICAS</t>
        </is>
      </c>
      <c r="B95" s="45" t="n"/>
      <c r="C95" s="45" t="n"/>
      <c r="D95" s="45" t="n"/>
      <c r="E95" s="45" t="n"/>
      <c r="F95" s="45" t="n"/>
      <c r="G95" s="22">
        <f>G57</f>
        <v/>
      </c>
      <c r="H95" s="45" t="n"/>
      <c r="I95" s="45" t="n"/>
    </row>
    <row r="96">
      <c r="A96" s="23" t="inlineStr">
        <is>
          <t>SUBTOTAL 11 — AR-CONDICIONADO</t>
        </is>
      </c>
      <c r="B96" s="45" t="n"/>
      <c r="C96" s="45" t="n"/>
      <c r="D96" s="45" t="n"/>
      <c r="E96" s="45" t="n"/>
      <c r="F96" s="45" t="n"/>
      <c r="G96" s="22">
        <f>G60</f>
        <v/>
      </c>
      <c r="H96" s="45" t="n"/>
      <c r="I96" s="45" t="n"/>
    </row>
    <row r="97">
      <c r="A97" s="23" t="inlineStr">
        <is>
          <t>SUBTOTAL SUGESTÕES (custos indiretos e gestão)</t>
        </is>
      </c>
      <c r="B97" s="45" t="n"/>
      <c r="C97" s="45" t="n"/>
      <c r="D97" s="45" t="n"/>
      <c r="E97" s="45" t="n"/>
      <c r="F97" s="45" t="n"/>
      <c r="G97" s="22">
        <f>G83</f>
        <v/>
      </c>
      <c r="H97" s="45" t="n"/>
      <c r="I97" s="45" t="n"/>
    </row>
    <row r="98">
      <c r="A98" s="46" t="inlineStr">
        <is>
          <t>TOTAL CUSTO DIRETO (sem BDI)</t>
        </is>
      </c>
      <c r="B98" s="47" t="n"/>
      <c r="C98" s="47" t="n"/>
      <c r="D98" s="47" t="n"/>
      <c r="E98" s="47" t="n"/>
      <c r="F98" s="47" t="n"/>
      <c r="G98" s="48">
        <f>SUM(G86:G97)</f>
        <v/>
      </c>
      <c r="H98" s="47" t="n"/>
      <c r="I98" s="47" t="n"/>
    </row>
    <row r="99">
      <c r="A99" s="49" t="inlineStr">
        <is>
          <t>CONTINGÊNCIA (%)</t>
        </is>
      </c>
      <c r="B99" s="50" t="n"/>
      <c r="C99" s="50" t="n"/>
      <c r="D99" s="50" t="n"/>
      <c r="E99" s="50" t="n"/>
      <c r="F99" s="51" t="n">
        <v>0.1</v>
      </c>
      <c r="G99" s="52">
        <f>G98*F99</f>
        <v/>
      </c>
      <c r="H99" s="53" t="inlineStr">
        <is>
          <t>Reserva técnica para imprevistos (ajustável 5-15%)</t>
        </is>
      </c>
      <c r="I99" s="50" t="n"/>
    </row>
    <row r="100">
      <c r="A100" s="49" t="inlineStr">
        <is>
          <t>BDI (%) — ponto de partida, ajuste pro seu caso</t>
        </is>
      </c>
      <c r="B100" s="50" t="n"/>
      <c r="C100" s="50" t="n"/>
      <c r="D100" s="50" t="n"/>
      <c r="E100" s="50" t="n"/>
      <c r="F100" s="51" t="n">
        <v>0.275</v>
      </c>
      <c r="G100" s="52">
        <f>(G98+G99)*F100</f>
        <v/>
      </c>
      <c r="H100" s="53" t="inlineStr">
        <is>
          <t>Composição de referência: AC 4% + S 0,8% + R 0,5% + G 0,5% + DF 1,5% + L 6% + T 11%</t>
        </is>
      </c>
      <c r="I100" s="50" t="n"/>
    </row>
    <row r="101">
      <c r="A101" s="54" t="inlineStr">
        <is>
          <t>TOTAL GERAL COM CONTINGÊNCIA + BDI</t>
        </is>
      </c>
      <c r="B101" s="55" t="n"/>
      <c r="C101" s="55" t="n"/>
      <c r="D101" s="55" t="n"/>
      <c r="E101" s="55" t="n"/>
      <c r="F101" s="55" t="n"/>
      <c r="G101" s="56">
        <f>G98+G99+G100</f>
        <v/>
      </c>
      <c r="H101" s="55" t="n"/>
      <c r="I101" s="55" t="n"/>
    </row>
    <row r="103">
      <c r="A103" s="57" t="inlineStr">
        <is>
          <t>OMISSOS — Itens não incluídos que provavelmente serão necessários</t>
        </is>
      </c>
      <c r="B103" s="57" t="n"/>
      <c r="C103" s="57" t="n"/>
      <c r="D103" s="57" t="n"/>
      <c r="E103" s="57" t="n"/>
      <c r="F103" s="57" t="n"/>
      <c r="G103" s="57" t="n"/>
      <c r="H103" s="57" t="n"/>
      <c r="I103" s="57" t="n"/>
    </row>
    <row r="104">
      <c r="A104" s="58" t="inlineStr">
        <is>
          <t xml:space="preserve">  • Projeto executivo de instalações (elétrica, hidráulica, AC) — se não contratado separadamente</t>
        </is>
      </c>
    </row>
    <row r="105">
      <c r="A105" s="58" t="inlineStr">
        <is>
          <t xml:space="preserve">  • Reforço estrutural — se necessário para novas cargas (marcenaria pesada, bancadas de pedra)</t>
        </is>
      </c>
    </row>
    <row r="106">
      <c r="A106" s="58" t="inlineStr">
        <is>
          <t xml:space="preserve">  • Impermeabilização — se houver alteração em áreas úmidas (cozinha, banheiros, lavanderia)</t>
        </is>
      </c>
    </row>
    <row r="107">
      <c r="A107" s="58" t="inlineStr">
        <is>
          <t xml:space="preserve">  • Aprovação no Corpo de Bombeiros (PPCI) — taxas e honorários do projetista</t>
        </is>
      </c>
    </row>
    <row r="108">
      <c r="A108" s="58" t="inlineStr">
        <is>
          <t xml:space="preserve">  • Compatibilização de projetos (elétrica × forro × sprinkler × AC)</t>
        </is>
      </c>
    </row>
    <row r="109">
      <c r="A109" s="58" t="inlineStr">
        <is>
          <t xml:space="preserve">  • Adequação de infraestrutura do condomínio (elétrica, hidráulica, incêndio)</t>
        </is>
      </c>
    </row>
    <row r="110">
      <c r="A110" s="58" t="inlineStr">
        <is>
          <t xml:space="preserve">  • Paisagismo interno — se o projeto prever jardineiras ou verde</t>
        </is>
      </c>
    </row>
    <row r="111">
      <c r="A111" s="58" t="inlineStr">
        <is>
          <t xml:space="preserve">  • Automação e integração de sistemas (BMS, controle de iluminação)</t>
        </is>
      </c>
    </row>
    <row r="113">
      <c r="A113" s="59" t="inlineStr">
        <is>
          <t>EXCLUSOS — Itens explicitamente fora deste escopo (padrão de mercado)</t>
        </is>
      </c>
      <c r="B113" s="59" t="n"/>
      <c r="C113" s="59" t="n"/>
      <c r="D113" s="59" t="n"/>
      <c r="E113" s="59" t="n"/>
      <c r="F113" s="59" t="n"/>
      <c r="G113" s="59" t="n"/>
      <c r="H113" s="59" t="n"/>
      <c r="I113" s="59" t="n"/>
    </row>
    <row r="114">
      <c r="A114" s="60" t="inlineStr">
        <is>
          <t xml:space="preserve">  • Contas de água, luz e telefone durante a obra — cargo do condomínio/contratante</t>
        </is>
      </c>
    </row>
    <row r="115">
      <c r="A115" s="60" t="inlineStr">
        <is>
          <t xml:space="preserve">  • Divisórias industriais piso-teto (vidro liso, polarizado) — cargo do contratante</t>
        </is>
      </c>
    </row>
    <row r="116">
      <c r="A116" s="60" t="inlineStr">
        <is>
          <t xml:space="preserve">  • Carpete — fornecimento pelo cliente; instalação pode estar inclusa</t>
        </is>
      </c>
    </row>
    <row r="117">
      <c r="A117" s="60" t="inlineStr">
        <is>
          <t xml:space="preserve">  • Marcenaria sob medida (bancadas, armários, painéis) — cargo do contratante</t>
        </is>
      </c>
    </row>
    <row r="118">
      <c r="A118" s="60" t="inlineStr">
        <is>
          <t xml:space="preserve">  • Mobiliário decorativo e de escritório — cargo do contratante</t>
        </is>
      </c>
    </row>
    <row r="119">
      <c r="A119" s="60" t="inlineStr">
        <is>
          <t xml:space="preserve">  • Persianas e cortinas — cargo do contratante</t>
        </is>
      </c>
    </row>
    <row r="120">
      <c r="A120" s="60" t="inlineStr">
        <is>
          <t xml:space="preserve">  • Equipamentos de TI (switches, servidores, APs, nobreaks) — cargo do contratante</t>
        </is>
      </c>
    </row>
    <row r="121">
      <c r="A121" s="60" t="inlineStr">
        <is>
          <t xml:space="preserve">  • Sistema de CFTV e controle de acesso — quando fornecido por empresa especializada</t>
        </is>
      </c>
    </row>
    <row r="124">
      <c r="A124" s="61" t="inlineStr">
        <is>
          <t>NOTAS:</t>
        </is>
      </c>
    </row>
    <row r="125">
      <c r="A125" s="62" t="inlineStr">
        <is>
          <t>1. REFORMA: quantitativos consideram apenas o que MUDA. Conferir in loco e em projeto executivo.</t>
        </is>
      </c>
    </row>
    <row r="126">
      <c r="A126" s="62" t="inlineStr">
        <is>
          <t>2. Colunas MAT e M.O. (amarelo): preencher pelo orçamentista/fornecedor.</t>
        </is>
      </c>
    </row>
    <row r="127">
      <c r="A127" s="62" t="inlineStr">
        <is>
          <t>3. BDI: 27,5% é só um ponto de partida — ajuste pro seu caso. Fórmula do Acórdão TCU 2622/2013: [(1+AC+S+R+G) x (1+DF) x (1+L)] / (1-T) - 1, onde AC=administração central, S=seguros, R=riscos, G=garantias, DF=despesas financeiras, L=lucro e T=tributos SOBRE FATURAMENTO (PIS+COFINS+ISS, e CPRB quando aplicável). IRPJ e CSLL não entram no BDI — o TCU veda, por incidirem sobre o lucro. O mesmo acórdão traz faixa de 20,34% a 25% para construção de edifícios em obra pública.</t>
        </is>
      </c>
    </row>
    <row r="128">
      <c r="A128" s="62" t="inlineStr">
        <is>
          <t>4. Itens em BRANCO: quantidade medida/contada diretamente do arquivo (bloco, hachura, linha). O selo diz de onde veio o número; a conferência final é sua.</t>
        </is>
      </c>
    </row>
    <row r="129">
      <c r="A129" s="62" t="inlineStr">
        <is>
          <t>5. Itens em LARANJA: quantidade sugerida pela IA sem medição direta — SEMPRE confirmar antes de orçar.</t>
        </is>
      </c>
    </row>
    <row r="130">
      <c r="A130" s="62" t="inlineStr">
        <is>
          <t>6. Itens em CINZA (Premissas): metadados do projeto extraídos do arquivo — revisar no original.</t>
        </is>
      </c>
    </row>
    <row r="131">
      <c r="A131" s="62" t="inlineStr">
        <is>
          <t>7. Itens em ROXO (Sugestões): checklist de custos indiretos típicos — preencher quantidade conforme o projeto.</t>
        </is>
      </c>
    </row>
    <row r="132">
      <c r="A132" s="62" t="inlineStr">
        <is>
          <t>8. Contingência 10% — reserva técnica para imprevistos. Ajustar conforme risco do projeto.</t>
        </is>
      </c>
    </row>
    <row r="133">
      <c r="A133" s="62" t="inlineStr">
        <is>
          <t>9. Perdas de material NÃO aplicadas: as composições SINAPI da coluna REF já têm a perda nos coeficientes — só acrescente perda se a composição que você usar não tiver.</t>
        </is>
      </c>
    </row>
    <row r="134">
      <c r="A134" s="62" t="inlineStr">
        <is>
          <t>10. OMISSOS: itens que podem ser necessários mas não foram incluídos — avaliar com equipe de projeto.</t>
        </is>
      </c>
    </row>
    <row r="135">
      <c r="A135" s="62" t="inlineStr">
        <is>
          <t>11. EXCLUSOS: itens padrão de mercado excluídos do escopo de empreiteiras.</t>
        </is>
      </c>
    </row>
    <row r="136">
      <c r="A136" s="62" t="inlineStr">
        <is>
          <t>12. Planilha gerada por AI.arq (ai.arq.br) — validar com engenheiro de custos.</t>
        </is>
      </c>
    </row>
  </sheetData>
  <mergeCells count="77">
    <mergeCell ref="A58:K58"/>
    <mergeCell ref="A114:K114"/>
    <mergeCell ref="A15:K15"/>
    <mergeCell ref="A107:K107"/>
    <mergeCell ref="A86:F86"/>
    <mergeCell ref="A95:F95"/>
    <mergeCell ref="A47:F47"/>
    <mergeCell ref="A2:I2"/>
    <mergeCell ref="A124:K124"/>
    <mergeCell ref="A54:K54"/>
    <mergeCell ref="A97:F97"/>
    <mergeCell ref="A108:K108"/>
    <mergeCell ref="A38:F38"/>
    <mergeCell ref="A85:K85"/>
    <mergeCell ref="A126:K126"/>
    <mergeCell ref="A135:K135"/>
    <mergeCell ref="A35:K35"/>
    <mergeCell ref="A100:E100"/>
    <mergeCell ref="A60:F60"/>
    <mergeCell ref="A62:K62"/>
    <mergeCell ref="A125:K125"/>
    <mergeCell ref="A19:K19"/>
    <mergeCell ref="A28:K28"/>
    <mergeCell ref="A117:K117"/>
    <mergeCell ref="A127:K127"/>
    <mergeCell ref="A48:K48"/>
    <mergeCell ref="A27:F27"/>
    <mergeCell ref="A11:K11"/>
    <mergeCell ref="A18:F18"/>
    <mergeCell ref="A101:F101"/>
    <mergeCell ref="A42:F42"/>
    <mergeCell ref="A128:K128"/>
    <mergeCell ref="A22:F22"/>
    <mergeCell ref="A136:K136"/>
    <mergeCell ref="A105:K105"/>
    <mergeCell ref="A129:K129"/>
    <mergeCell ref="A116:K116"/>
    <mergeCell ref="A131:K131"/>
    <mergeCell ref="A98:F98"/>
    <mergeCell ref="A109:K109"/>
    <mergeCell ref="A63:K63"/>
    <mergeCell ref="A88:F88"/>
    <mergeCell ref="A115:K115"/>
    <mergeCell ref="A111:K111"/>
    <mergeCell ref="A90:F90"/>
    <mergeCell ref="A39:K39"/>
    <mergeCell ref="A3:I3"/>
    <mergeCell ref="A1:K1"/>
    <mergeCell ref="A103:K103"/>
    <mergeCell ref="A133:K133"/>
    <mergeCell ref="A53:F53"/>
    <mergeCell ref="A120:K120"/>
    <mergeCell ref="A93:F93"/>
    <mergeCell ref="A104:K104"/>
    <mergeCell ref="A113:K113"/>
    <mergeCell ref="A34:F34"/>
    <mergeCell ref="A83:F83"/>
    <mergeCell ref="A92:F92"/>
    <mergeCell ref="A23:K23"/>
    <mergeCell ref="A106:K106"/>
    <mergeCell ref="A94:F94"/>
    <mergeCell ref="A43:K43"/>
    <mergeCell ref="A87:F87"/>
    <mergeCell ref="A130:K130"/>
    <mergeCell ref="A89:F89"/>
    <mergeCell ref="A132:K132"/>
    <mergeCell ref="A110:K110"/>
    <mergeCell ref="A57:F57"/>
    <mergeCell ref="A6:K6"/>
    <mergeCell ref="A119:K119"/>
    <mergeCell ref="A14:F14"/>
    <mergeCell ref="A99:E99"/>
    <mergeCell ref="A96:F96"/>
    <mergeCell ref="A91:F91"/>
    <mergeCell ref="A118:K118"/>
    <mergeCell ref="A134:K134"/>
    <mergeCell ref="A121:K12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I1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5" customWidth="1" min="3" max="3"/>
    <col width="10" customWidth="1" min="4" max="4"/>
    <col width="12" customWidth="1" min="5" max="5"/>
    <col width="12" customWidth="1" min="6" max="6"/>
    <col width="50" customWidth="1" min="7" max="7"/>
    <col width="6" customWidth="1" min="8" max="8"/>
    <col width="12" customWidth="1" min="9" max="9"/>
  </cols>
  <sheetData>
    <row r="1">
      <c r="A1" s="5" t="inlineStr">
        <is>
          <t>REFERÊNCIAS SINAPI — códigos oficiais por item</t>
        </is>
      </c>
    </row>
    <row r="2">
      <c r="A2" s="7" t="inlineStr">
        <is>
          <t>SINAPI (Caixa) = referência oficial de preço/quantitativo no Brasil, atualizada mensalmente. Cada item do quantitativo recebe os códigos SINAPI mais próximos pra você buscar o preço/composição.</t>
        </is>
      </c>
    </row>
    <row r="3">
      <c r="A3" s="7" t="inlineStr">
        <is>
          <t>AI.arq NÃO entrega preço. Use o código pra consultar o preço atualizado no SINAPI oficial (https://www.caixa.gov.br). A busca por texto levanta os candidatos e a IA escolhe qual é o mesmo serviço: "✓ IA conferiu" é o escolhido (vai pra coluna REF do orçamento); os demais são alternativas com o % de semelhança do TEXTO, que erra — confira sempre a composição oficial ao lado antes de usar.</t>
        </is>
      </c>
    </row>
    <row r="5">
      <c r="A5" s="8" t="inlineStr">
        <is>
          <t>ITEM</t>
        </is>
      </c>
      <c r="B5" s="8" t="inlineStr">
        <is>
          <t>DESCRIÇÃO DO QUANTITATIVO</t>
        </is>
      </c>
      <c r="C5" s="8" t="inlineStr">
        <is>
          <t>UN</t>
        </is>
      </c>
      <c r="D5" s="8" t="inlineStr">
        <is>
          <t>QTDE</t>
        </is>
      </c>
      <c r="E5" s="8" t="inlineStr">
        <is>
          <t>BASE</t>
        </is>
      </c>
      <c r="F5" s="8" t="inlineStr">
        <is>
          <t>CÓDIGO</t>
        </is>
      </c>
      <c r="G5" s="8" t="inlineStr">
        <is>
          <t>COMPOSIÇÃO OFICIAL (referência)</t>
        </is>
      </c>
      <c r="H5" s="8" t="inlineStr">
        <is>
          <t>UN.</t>
        </is>
      </c>
      <c r="I5" s="8" t="inlineStr">
        <is>
          <t>SEMELHANÇA %</t>
        </is>
      </c>
    </row>
    <row r="6">
      <c r="A6" s="63" t="inlineStr">
        <is>
          <t>1.1</t>
        </is>
      </c>
      <c r="B6" s="64" t="inlineStr">
        <is>
          <t>Administração da obra e mobilização de canteiro</t>
        </is>
      </c>
      <c r="C6" s="63" t="inlineStr">
        <is>
          <t>vb</t>
        </is>
      </c>
      <c r="D6" s="63" t="n">
        <v>1</v>
      </c>
      <c r="E6" s="65" t="inlineStr">
        <is>
          <t>Sem correspondência no SINAPI — a IA conferiu os candidatos e nenhum é o mesmo serviço. Buscar manualmente em https://www.caixa.gov.br/sinapi</t>
        </is>
      </c>
      <c r="F6" s="66" t="n"/>
      <c r="G6" s="66" t="n"/>
      <c r="H6" s="66" t="n"/>
      <c r="I6" s="66" t="n"/>
    </row>
    <row r="7">
      <c r="A7" s="63" t="inlineStr">
        <is>
          <t>1.2</t>
        </is>
      </c>
      <c r="B7" s="64" t="inlineStr">
        <is>
          <t>Limpeza final da obra</t>
        </is>
      </c>
      <c r="C7" s="63" t="inlineStr">
        <is>
          <t>m²</t>
        </is>
      </c>
      <c r="D7" s="63" t="n">
        <v>118.5</v>
      </c>
      <c r="E7" s="65" t="inlineStr">
        <is>
          <t>Sem correspondência no SINAPI — a IA conferiu os candidatos e nenhum é o mesmo serviço. Buscar manualmente em https://www.caixa.gov.br/sinapi</t>
        </is>
      </c>
      <c r="F7" s="66" t="n"/>
      <c r="G7" s="66" t="n"/>
      <c r="H7" s="66" t="n"/>
      <c r="I7" s="66" t="n"/>
    </row>
    <row r="8">
      <c r="A8" s="67" t="inlineStr">
        <is>
          <t>2.1</t>
        </is>
      </c>
      <c r="B8" s="49" t="inlineStr">
        <is>
          <t>Demolição de alvenaria de vedação (e=15cm)</t>
        </is>
      </c>
      <c r="C8" s="30" t="inlineStr">
        <is>
          <t>m²</t>
        </is>
      </c>
      <c r="D8" s="30" t="n">
        <v>0</v>
      </c>
      <c r="E8" s="68" t="inlineStr">
        <is>
          <t>↓ candidatos encontrados ↓</t>
        </is>
      </c>
      <c r="F8" s="69" t="n"/>
      <c r="G8" s="69" t="n"/>
      <c r="H8" s="69" t="n"/>
      <c r="I8" s="69" t="n"/>
    </row>
    <row r="9">
      <c r="A9" s="70" t="inlineStr"/>
      <c r="B9" s="71" t="inlineStr"/>
      <c r="C9" s="72" t="n"/>
      <c r="D9" s="72" t="n"/>
      <c r="E9" s="73" t="inlineStr">
        <is>
          <t>SINAPI</t>
        </is>
      </c>
      <c r="F9" s="73" t="inlineStr">
        <is>
          <t>97622</t>
        </is>
      </c>
      <c r="G9" s="74" t="inlineStr">
        <is>
          <t>DEMOLIÇÃO DE ALVENARIA DE BLOCO FURADO, DE FORMA MANUAL, SEM REAPROVEITAMENTO. AF_09/2023</t>
        </is>
      </c>
      <c r="H9" s="75" t="inlineStr">
        <is>
          <t>M3</t>
        </is>
      </c>
      <c r="I9" s="73" t="inlineStr">
        <is>
          <t>✓ IA conferiu</t>
        </is>
      </c>
    </row>
    <row r="10">
      <c r="A10" s="70" t="inlineStr"/>
      <c r="B10" s="71" t="inlineStr"/>
      <c r="C10" s="72" t="n"/>
      <c r="D10" s="72" t="n"/>
      <c r="E10" s="73" t="inlineStr">
        <is>
          <t>SINAPI</t>
        </is>
      </c>
      <c r="F10" s="73" t="inlineStr">
        <is>
          <t>~97632</t>
        </is>
      </c>
      <c r="G10" s="74" t="inlineStr">
        <is>
          <t>DEMOLIÇÃO DE RODAPÉ CERÂMICO, DE FORMA MANUAL, SEM REAPROVEITAMENTO. AF_09/2023</t>
        </is>
      </c>
      <c r="H10" s="75" t="inlineStr">
        <is>
          <t>M</t>
        </is>
      </c>
      <c r="I10" s="73" t="inlineStr">
        <is>
          <t>32% (texto)</t>
        </is>
      </c>
    </row>
    <row r="12">
      <c r="A12" s="67" t="inlineStr">
        <is>
          <t>2.2</t>
        </is>
      </c>
      <c r="B12" s="49" t="inlineStr">
        <is>
          <t>Remoção de divisória existente</t>
        </is>
      </c>
      <c r="C12" s="30" t="inlineStr">
        <is>
          <t>m²</t>
        </is>
      </c>
      <c r="D12" s="30" t="n">
        <v>18</v>
      </c>
      <c r="E12" s="68" t="inlineStr">
        <is>
          <t>↓ candidatos encontrados ↓</t>
        </is>
      </c>
      <c r="F12" s="69" t="n"/>
      <c r="G12" s="69" t="n"/>
      <c r="H12" s="69" t="n"/>
      <c r="I12" s="69" t="n"/>
    </row>
    <row r="13">
      <c r="A13" s="70" t="inlineStr"/>
      <c r="B13" s="71" t="inlineStr"/>
      <c r="C13" s="72" t="n"/>
      <c r="D13" s="72" t="n"/>
      <c r="E13" s="73" t="inlineStr">
        <is>
          <t>SINAPI</t>
        </is>
      </c>
      <c r="F13" s="73" t="inlineStr">
        <is>
          <t>~97638</t>
        </is>
      </c>
      <c r="G13" s="74" t="inlineStr">
        <is>
          <t>REMOÇÃO DE CHAPAS E PERFIS DE DRYWALL, DE FORMA MANUAL, SEM REAPROVEITAMENTO. AF_09/2023</t>
        </is>
      </c>
      <c r="H13" s="75" t="inlineStr">
        <is>
          <t>M2</t>
        </is>
      </c>
      <c r="I13" s="73" t="inlineStr">
        <is>
          <t>✓ IA conferiu</t>
        </is>
      </c>
    </row>
    <row r="14">
      <c r="A14" s="70" t="inlineStr"/>
      <c r="B14" s="71" t="inlineStr"/>
      <c r="C14" s="72" t="n"/>
      <c r="D14" s="72" t="n"/>
      <c r="E14" s="73" t="inlineStr">
        <is>
          <t>SINAPI</t>
        </is>
      </c>
      <c r="F14" s="73" t="inlineStr">
        <is>
          <t>~97660</t>
        </is>
      </c>
      <c r="G14" s="74" t="inlineStr">
        <is>
          <t>REMOÇÃO DE INTERRUPTORES/TOMADAS ELÉTRICAS, DE FORMA MANUAL, SEM REAPROVEITAMENTO. AF_09/2023</t>
        </is>
      </c>
      <c r="H14" s="75" t="inlineStr">
        <is>
          <t>UN</t>
        </is>
      </c>
      <c r="I14" s="73" t="inlineStr">
        <is>
          <t>36% (texto)</t>
        </is>
      </c>
    </row>
    <row r="16">
      <c r="A16" s="67" t="inlineStr">
        <is>
          <t>3.1</t>
        </is>
      </c>
      <c r="B16" s="49" t="inlineStr">
        <is>
          <t>Alvenaria de bloco cerâmico e=14cm</t>
        </is>
      </c>
      <c r="C16" s="30" t="inlineStr">
        <is>
          <t>m²</t>
        </is>
      </c>
      <c r="D16" s="30" t="n">
        <v>41.2</v>
      </c>
      <c r="E16" s="68" t="inlineStr">
        <is>
          <t>↓ candidatos encontrados ↓</t>
        </is>
      </c>
      <c r="F16" s="69" t="n"/>
      <c r="G16" s="69" t="n"/>
      <c r="H16" s="69" t="n"/>
      <c r="I16" s="69" t="n"/>
    </row>
    <row r="17">
      <c r="A17" s="70" t="inlineStr"/>
      <c r="B17" s="71" t="inlineStr"/>
      <c r="C17" s="72" t="n"/>
      <c r="D17" s="72" t="n"/>
      <c r="E17" s="73" t="inlineStr">
        <is>
          <t>SINAPI</t>
        </is>
      </c>
      <c r="F17" s="73" t="inlineStr">
        <is>
          <t>103346</t>
        </is>
      </c>
      <c r="G17" s="74" t="inlineStr">
        <is>
          <t>ALVENARIA DE VEDAÇÃO DE BLOCOS CERÂMICOS FURADOS NA VERTICAL DE 14X19X29 CM (ESPESSURA 14 CM) E</t>
        </is>
      </c>
      <c r="H17" s="75" t="inlineStr">
        <is>
          <t>M2</t>
        </is>
      </c>
      <c r="I17" s="73" t="inlineStr">
        <is>
          <t>✓ IA conferiu</t>
        </is>
      </c>
    </row>
    <row r="18">
      <c r="A18" s="70" t="inlineStr"/>
      <c r="B18" s="71" t="inlineStr"/>
      <c r="C18" s="72" t="n"/>
      <c r="D18" s="72" t="n"/>
      <c r="E18" s="73" t="inlineStr">
        <is>
          <t>SINAPI</t>
        </is>
      </c>
      <c r="F18" s="73" t="inlineStr">
        <is>
          <t>89290</t>
        </is>
      </c>
      <c r="G18" s="74" t="inlineStr">
        <is>
          <t>ALVENARIA ESTRUTURAL DE BLOCOS CERÂMICOS 14X19X29, (ESPESSURA DE 14 CM), UTILIZANDO PALHETA E A</t>
        </is>
      </c>
      <c r="H18" s="75" t="inlineStr">
        <is>
          <t>M2</t>
        </is>
      </c>
      <c r="I18" s="73" t="inlineStr">
        <is>
          <t>63% (texto)</t>
        </is>
      </c>
    </row>
    <row r="20">
      <c r="A20" s="67" t="inlineStr">
        <is>
          <t>3.2</t>
        </is>
      </c>
      <c r="B20" s="49" t="inlineStr">
        <is>
          <t>Divisória em drywall (2 faces, com lã)</t>
        </is>
      </c>
      <c r="C20" s="30" t="inlineStr">
        <is>
          <t>m²</t>
        </is>
      </c>
      <c r="D20" s="30" t="n">
        <v>33.8</v>
      </c>
      <c r="E20" s="68" t="inlineStr">
        <is>
          <t>↓ candidatos encontrados ↓</t>
        </is>
      </c>
      <c r="F20" s="69" t="n"/>
      <c r="G20" s="69" t="n"/>
      <c r="H20" s="69" t="n"/>
      <c r="I20" s="69" t="n"/>
    </row>
    <row r="21">
      <c r="A21" s="70" t="inlineStr"/>
      <c r="B21" s="71" t="inlineStr"/>
      <c r="C21" s="72" t="n"/>
      <c r="D21" s="72" t="n"/>
      <c r="E21" s="73" t="inlineStr">
        <is>
          <t>SINAPI</t>
        </is>
      </c>
      <c r="F21" s="73" t="inlineStr">
        <is>
          <t>96361</t>
        </is>
      </c>
      <c r="G21" s="74" t="inlineStr">
        <is>
          <t>PAREDE COM SISTEMA EM CHAPAS DE GESSO PARA DRYWALL, USO INTERNO, COM DUAS FACES SIMPLES E ESTRU</t>
        </is>
      </c>
      <c r="H21" s="75" t="inlineStr">
        <is>
          <t>M2</t>
        </is>
      </c>
      <c r="I21" s="73" t="inlineStr">
        <is>
          <t>✓ IA conferiu</t>
        </is>
      </c>
    </row>
    <row r="22">
      <c r="A22" s="70" t="inlineStr"/>
      <c r="B22" s="71" t="inlineStr"/>
      <c r="C22" s="72" t="n"/>
      <c r="D22" s="72" t="n"/>
      <c r="E22" s="73" t="inlineStr">
        <is>
          <t>SINAPI</t>
        </is>
      </c>
      <c r="F22" s="73" t="inlineStr">
        <is>
          <t>~102450</t>
        </is>
      </c>
      <c r="G22" s="74" t="inlineStr">
        <is>
          <t>DIVISORIA (N2) - PAINEL/VIDRO - PAINEL C/ MSO/COMEIA E=35MM - PERFIS SIMPLES ACO GALVANIZADO PI</t>
        </is>
      </c>
      <c r="H22" s="75" t="inlineStr">
        <is>
          <t>M2</t>
        </is>
      </c>
      <c r="I22" s="73" t="inlineStr">
        <is>
          <t>28% (texto)</t>
        </is>
      </c>
    </row>
    <row r="24">
      <c r="A24" s="67" t="inlineStr">
        <is>
          <t>4.1</t>
        </is>
      </c>
      <c r="B24" s="49" t="inlineStr">
        <is>
          <t>Pintura látex acrílica em parede (2 demãos)</t>
        </is>
      </c>
      <c r="C24" s="30" t="inlineStr">
        <is>
          <t>m²</t>
        </is>
      </c>
      <c r="D24" s="30" t="n">
        <v>214</v>
      </c>
      <c r="E24" s="68" t="inlineStr">
        <is>
          <t>↓ candidatos encontrados ↓</t>
        </is>
      </c>
      <c r="F24" s="69" t="n"/>
      <c r="G24" s="69" t="n"/>
      <c r="H24" s="69" t="n"/>
      <c r="I24" s="69" t="n"/>
    </row>
    <row r="25">
      <c r="A25" s="70" t="inlineStr"/>
      <c r="B25" s="71" t="inlineStr"/>
      <c r="C25" s="72" t="n"/>
      <c r="D25" s="72" t="n"/>
      <c r="E25" s="73" t="inlineStr">
        <is>
          <t>SINAPI</t>
        </is>
      </c>
      <c r="F25" s="73" t="inlineStr">
        <is>
          <t>~88489</t>
        </is>
      </c>
      <c r="G25" s="74" t="inlineStr">
        <is>
          <t>PINTURA LÁTEX ACRÍLICA PREMIUM, APLICAÇÃO MANUAL EM PAREDES, DUAS DEMÃOS. AF_04/2023</t>
        </is>
      </c>
      <c r="H25" s="75" t="inlineStr">
        <is>
          <t>M2</t>
        </is>
      </c>
      <c r="I25" s="73" t="inlineStr">
        <is>
          <t>✓ IA conferiu</t>
        </is>
      </c>
    </row>
    <row r="26">
      <c r="A26" s="70" t="inlineStr"/>
      <c r="B26" s="71" t="inlineStr"/>
      <c r="C26" s="72" t="n"/>
      <c r="D26" s="72" t="n"/>
      <c r="E26" s="73" t="inlineStr">
        <is>
          <t>SINAPI</t>
        </is>
      </c>
      <c r="F26" s="73" t="inlineStr">
        <is>
          <t>~102491</t>
        </is>
      </c>
      <c r="G26" s="74" t="inlineStr">
        <is>
          <t>PINTURA DE PISO COM TINTA ACRÍLICA, APLICAÇÃO MANUAL, 2 DEMÃOS, INCLUSO FUNDO PREPARADOR. AF_05</t>
        </is>
      </c>
      <c r="H26" s="75" t="inlineStr">
        <is>
          <t>M2</t>
        </is>
      </c>
      <c r="I26" s="73" t="inlineStr">
        <is>
          <t>40% (texto)</t>
        </is>
      </c>
    </row>
    <row r="28">
      <c r="A28" s="63" t="inlineStr">
        <is>
          <t>4.2</t>
        </is>
      </c>
      <c r="B28" s="64" t="inlineStr">
        <is>
          <t>Pintura em forro de gesso</t>
        </is>
      </c>
      <c r="C28" s="63" t="inlineStr">
        <is>
          <t>m²</t>
        </is>
      </c>
      <c r="D28" s="63" t="n">
        <v>101.7</v>
      </c>
      <c r="E28" s="65" t="inlineStr">
        <is>
          <t>Sem correspondência no SINAPI — a IA conferiu os candidatos e nenhum é o mesmo serviço. Buscar manualmente em https://www.caixa.gov.br/sinapi</t>
        </is>
      </c>
      <c r="F28" s="66" t="n"/>
      <c r="G28" s="66" t="n"/>
      <c r="H28" s="66" t="n"/>
      <c r="I28" s="66" t="n"/>
    </row>
    <row r="29">
      <c r="A29" s="67" t="inlineStr">
        <is>
          <t>4.3</t>
        </is>
      </c>
      <c r="B29" s="49" t="inlineStr">
        <is>
          <t>Revestimento cerâmico 33x45 em parede (sanitários e copa)</t>
        </is>
      </c>
      <c r="C29" s="30" t="inlineStr">
        <is>
          <t>m²</t>
        </is>
      </c>
      <c r="D29" s="30" t="n">
        <v>0</v>
      </c>
      <c r="E29" s="68" t="inlineStr">
        <is>
          <t>↓ candidatos encontrados ↓</t>
        </is>
      </c>
      <c r="F29" s="69" t="n"/>
      <c r="G29" s="69" t="n"/>
      <c r="H29" s="69" t="n"/>
      <c r="I29" s="69" t="n"/>
    </row>
    <row r="30">
      <c r="A30" s="70" t="inlineStr"/>
      <c r="B30" s="71" t="inlineStr"/>
      <c r="C30" s="72" t="n"/>
      <c r="D30" s="72" t="n"/>
      <c r="E30" s="73" t="inlineStr">
        <is>
          <t>SINAPI</t>
        </is>
      </c>
      <c r="F30" s="73" t="inlineStr">
        <is>
          <t>87273</t>
        </is>
      </c>
      <c r="G30" s="74" t="inlineStr">
        <is>
          <t>REVESTIMENTO CERÂMICO PARA PAREDES INTERNAS COM PLACAS TIPO ESMALTADA DE DIMENSÕES 33X45 CM APL</t>
        </is>
      </c>
      <c r="H30" s="75" t="inlineStr">
        <is>
          <t>M2</t>
        </is>
      </c>
      <c r="I30" s="73" t="inlineStr">
        <is>
          <t>✓ IA conferiu</t>
        </is>
      </c>
    </row>
    <row r="32">
      <c r="A32" s="67" t="inlineStr">
        <is>
          <t>5.1</t>
        </is>
      </c>
      <c r="B32" s="49" t="inlineStr">
        <is>
          <t>Contrapiso desempenado e=4cm</t>
        </is>
      </c>
      <c r="C32" s="30" t="inlineStr">
        <is>
          <t>m²</t>
        </is>
      </c>
      <c r="D32" s="30" t="n">
        <v>108.3</v>
      </c>
      <c r="E32" s="68" t="inlineStr">
        <is>
          <t>↓ candidatos encontrados ↓</t>
        </is>
      </c>
      <c r="F32" s="69" t="n"/>
      <c r="G32" s="69" t="n"/>
      <c r="H32" s="69" t="n"/>
      <c r="I32" s="69" t="n"/>
    </row>
    <row r="33">
      <c r="A33" s="70" t="inlineStr"/>
      <c r="B33" s="71" t="inlineStr"/>
      <c r="C33" s="72" t="n"/>
      <c r="D33" s="72" t="n"/>
      <c r="E33" s="73" t="inlineStr">
        <is>
          <t>SINAPI</t>
        </is>
      </c>
      <c r="F33" s="73" t="inlineStr">
        <is>
          <t>~88478</t>
        </is>
      </c>
      <c r="G33" s="74" t="inlineStr">
        <is>
          <t>CONTRAPISO COM ARGAMASSA AUTONIVELANTE, APLICADO SOBRE LAJE, ADERIDO, ESPESSURA 4CM. AF_07/2021</t>
        </is>
      </c>
      <c r="H33" s="75" t="inlineStr">
        <is>
          <t>M2</t>
        </is>
      </c>
      <c r="I33" s="73" t="inlineStr">
        <is>
          <t>✓ IA conferiu</t>
        </is>
      </c>
    </row>
    <row r="34">
      <c r="A34" s="70" t="inlineStr"/>
      <c r="B34" s="71" t="inlineStr"/>
      <c r="C34" s="72" t="n"/>
      <c r="D34" s="72" t="n"/>
      <c r="E34" s="73" t="inlineStr">
        <is>
          <t>SINAPI</t>
        </is>
      </c>
      <c r="F34" s="73" t="inlineStr">
        <is>
          <t>~88476</t>
        </is>
      </c>
      <c r="G34" s="74" t="inlineStr">
        <is>
          <t>CONTRAPISO COM ARGAMASSA AUTONIVELANTE, APLICADO SOBRE LAJE, ADERIDO, ESPESSURA 2CM. AF_07/2021</t>
        </is>
      </c>
      <c r="H34" s="75" t="inlineStr">
        <is>
          <t>M2</t>
        </is>
      </c>
      <c r="I34" s="73" t="inlineStr">
        <is>
          <t>37% (texto)</t>
        </is>
      </c>
    </row>
    <row r="36">
      <c r="A36" s="67" t="inlineStr">
        <is>
          <t>5.2</t>
        </is>
      </c>
      <c r="B36" s="49" t="inlineStr">
        <is>
          <t>Piso porcelanato retificado 60x60</t>
        </is>
      </c>
      <c r="C36" s="30" t="inlineStr">
        <is>
          <t>m²</t>
        </is>
      </c>
      <c r="D36" s="30" t="n">
        <v>86.09999999999999</v>
      </c>
      <c r="E36" s="68" t="inlineStr">
        <is>
          <t>↓ candidatos encontrados ↓</t>
        </is>
      </c>
      <c r="F36" s="69" t="n"/>
      <c r="G36" s="69" t="n"/>
      <c r="H36" s="69" t="n"/>
      <c r="I36" s="69" t="n"/>
    </row>
    <row r="37">
      <c r="A37" s="70" t="inlineStr"/>
      <c r="B37" s="71" t="inlineStr"/>
      <c r="C37" s="72" t="n"/>
      <c r="D37" s="72" t="n"/>
      <c r="E37" s="73" t="inlineStr">
        <is>
          <t>SINAPI</t>
        </is>
      </c>
      <c r="F37" s="73" t="inlineStr">
        <is>
          <t>87263</t>
        </is>
      </c>
      <c r="G37" s="74" t="inlineStr">
        <is>
          <t>REVESTIMENTO CERÂMICO PARA PISO COM PLACAS TIPO PORCELANATO DE DIMENSÕES 60X60 CM APLICADA EM A</t>
        </is>
      </c>
      <c r="H37" s="75" t="inlineStr">
        <is>
          <t>M2</t>
        </is>
      </c>
      <c r="I37" s="73" t="inlineStr">
        <is>
          <t>✓ IA conferiu</t>
        </is>
      </c>
    </row>
    <row r="38">
      <c r="A38" s="70" t="inlineStr"/>
      <c r="B38" s="71" t="inlineStr"/>
      <c r="C38" s="72" t="n"/>
      <c r="D38" s="72" t="n"/>
      <c r="E38" s="73" t="inlineStr">
        <is>
          <t>SINAPI</t>
        </is>
      </c>
      <c r="F38" s="73" t="inlineStr">
        <is>
          <t>87261</t>
        </is>
      </c>
      <c r="G38" s="74" t="inlineStr">
        <is>
          <t>REVESTIMENTO CERÂMICO PARA PISO COM PLACAS TIPO PORCELANATO DE DIMENSÕES 60X60 CM APLICADA EM A</t>
        </is>
      </c>
      <c r="H38" s="75" t="inlineStr">
        <is>
          <t>M2</t>
        </is>
      </c>
      <c r="I38" s="73" t="inlineStr">
        <is>
          <t>40% (texto)</t>
        </is>
      </c>
    </row>
    <row r="40">
      <c r="A40" s="67" t="inlineStr">
        <is>
          <t>5.3</t>
        </is>
      </c>
      <c r="B40" s="49" t="inlineStr">
        <is>
          <t>Rodapé em porcelanato h=7cm</t>
        </is>
      </c>
      <c r="C40" s="30" t="inlineStr">
        <is>
          <t>m</t>
        </is>
      </c>
      <c r="D40" s="30" t="n">
        <v>84.59999999999999</v>
      </c>
      <c r="E40" s="68" t="inlineStr">
        <is>
          <t>↓ candidatos encontrados ↓</t>
        </is>
      </c>
      <c r="F40" s="69" t="n"/>
      <c r="G40" s="69" t="n"/>
      <c r="H40" s="69" t="n"/>
      <c r="I40" s="69" t="n"/>
    </row>
    <row r="41">
      <c r="A41" s="70" t="inlineStr"/>
      <c r="B41" s="71" t="inlineStr"/>
      <c r="C41" s="72" t="n"/>
      <c r="D41" s="72" t="n"/>
      <c r="E41" s="73" t="inlineStr">
        <is>
          <t>SINAPI</t>
        </is>
      </c>
      <c r="F41" s="73" t="inlineStr">
        <is>
          <t>~88650</t>
        </is>
      </c>
      <c r="G41" s="74" t="inlineStr">
        <is>
          <t>RODAPÉ CERÂMICO DE 7CM DE ALTURA COM PLACAS TIPO ESMALTADA DE DIMENSÕES 60X60CM. AF_02/2023</t>
        </is>
      </c>
      <c r="H41" s="75" t="inlineStr">
        <is>
          <t>M</t>
        </is>
      </c>
      <c r="I41" s="73" t="inlineStr">
        <is>
          <t>✓ IA conferiu</t>
        </is>
      </c>
    </row>
    <row r="42">
      <c r="A42" s="70" t="inlineStr"/>
      <c r="B42" s="71" t="inlineStr"/>
      <c r="C42" s="72" t="n"/>
      <c r="D42" s="72" t="n"/>
      <c r="E42" s="73" t="inlineStr">
        <is>
          <t>SINAPI</t>
        </is>
      </c>
      <c r="F42" s="73" t="inlineStr">
        <is>
          <t>~104619</t>
        </is>
      </c>
      <c r="G42" s="74" t="inlineStr">
        <is>
          <t>RODAPÉ CERÂMICO DE 7CM DE ALTURA COM PLACAS TIPO ESMALTADA DE DIMENSÕES 80X80CM. AF_02/2023</t>
        </is>
      </c>
      <c r="H42" s="75" t="inlineStr">
        <is>
          <t>M</t>
        </is>
      </c>
      <c r="I42" s="73" t="inlineStr">
        <is>
          <t>27% (texto)</t>
        </is>
      </c>
    </row>
    <row r="44">
      <c r="A44" s="67" t="inlineStr">
        <is>
          <t>5.4</t>
        </is>
      </c>
      <c r="B44" s="49" t="inlineStr">
        <is>
          <t>Piso vinílico em manta (sala de reunião)</t>
        </is>
      </c>
      <c r="C44" s="30" t="inlineStr">
        <is>
          <t>m²</t>
        </is>
      </c>
      <c r="D44" s="30" t="n">
        <v>22.2</v>
      </c>
      <c r="E44" s="68" t="inlineStr">
        <is>
          <t>↓ candidatos encontrados ↓</t>
        </is>
      </c>
      <c r="F44" s="69" t="n"/>
      <c r="G44" s="69" t="n"/>
      <c r="H44" s="69" t="n"/>
      <c r="I44" s="69" t="n"/>
    </row>
    <row r="45">
      <c r="A45" s="70" t="inlineStr"/>
      <c r="B45" s="71" t="inlineStr"/>
      <c r="C45" s="72" t="n"/>
      <c r="D45" s="72" t="n"/>
      <c r="E45" s="73" t="inlineStr">
        <is>
          <t>SINAPI</t>
        </is>
      </c>
      <c r="F45" s="73" t="inlineStr">
        <is>
          <t>101728</t>
        </is>
      </c>
      <c r="G45" s="74" t="inlineStr">
        <is>
          <t>PISO VINÍLICO FLEXÍVEL EM MANTA, PADRÃO LISO, ESPESSURA 2 MM, FIXADO COM COLA. AF_02/2026</t>
        </is>
      </c>
      <c r="H45" s="75" t="inlineStr">
        <is>
          <t>M2</t>
        </is>
      </c>
      <c r="I45" s="73" t="inlineStr">
        <is>
          <t>✓ IA conferiu</t>
        </is>
      </c>
    </row>
    <row r="46">
      <c r="A46" s="70" t="inlineStr"/>
      <c r="B46" s="71" t="inlineStr"/>
      <c r="C46" s="72" t="n"/>
      <c r="D46" s="72" t="n"/>
      <c r="E46" s="73" t="inlineStr">
        <is>
          <t>SINAPI</t>
        </is>
      </c>
      <c r="F46" s="73" t="inlineStr">
        <is>
          <t>~101735</t>
        </is>
      </c>
      <c r="G46" s="74" t="inlineStr">
        <is>
          <t>PISO DE BORRACHA ESPORTIVO, ESPESSURA 15MM, ASSENTADO COM ARGAMASSA. AF_02/2026</t>
        </is>
      </c>
      <c r="H46" s="75" t="inlineStr">
        <is>
          <t>M2</t>
        </is>
      </c>
      <c r="I46" s="73" t="inlineStr">
        <is>
          <t>20% (texto)</t>
        </is>
      </c>
    </row>
    <row r="48">
      <c r="A48" s="67" t="inlineStr">
        <is>
          <t>5.5</t>
        </is>
      </c>
      <c r="B48" s="49" t="inlineStr">
        <is>
          <t>Soleira de granito nas portas (largura 15 cm)</t>
        </is>
      </c>
      <c r="C48" s="30" t="inlineStr">
        <is>
          <t>m</t>
        </is>
      </c>
      <c r="D48" s="30" t="n">
        <v>4.8</v>
      </c>
      <c r="E48" s="68" t="inlineStr">
        <is>
          <t>↓ candidatos encontrados ↓</t>
        </is>
      </c>
      <c r="F48" s="69" t="n"/>
      <c r="G48" s="69" t="n"/>
      <c r="H48" s="69" t="n"/>
      <c r="I48" s="69" t="n"/>
    </row>
    <row r="49">
      <c r="A49" s="70" t="inlineStr"/>
      <c r="B49" s="71" t="inlineStr"/>
      <c r="C49" s="72" t="n"/>
      <c r="D49" s="72" t="n"/>
      <c r="E49" s="73" t="inlineStr">
        <is>
          <t>SINAPI</t>
        </is>
      </c>
      <c r="F49" s="73" t="inlineStr">
        <is>
          <t>98689</t>
        </is>
      </c>
      <c r="G49" s="74" t="inlineStr">
        <is>
          <t>SOLEIRA EM GRANITO, LARGURA 15 CM, ESPESSURA 2,0 CM. AF_02/2026</t>
        </is>
      </c>
      <c r="H49" s="75" t="inlineStr">
        <is>
          <t>M</t>
        </is>
      </c>
      <c r="I49" s="73" t="inlineStr">
        <is>
          <t>✓ IA conferiu</t>
        </is>
      </c>
    </row>
    <row r="51">
      <c r="A51" s="67" t="inlineStr">
        <is>
          <t>6.1</t>
        </is>
      </c>
      <c r="B51" s="49" t="inlineStr">
        <is>
          <t>Forro de gesso acartonado liso</t>
        </is>
      </c>
      <c r="C51" s="30" t="inlineStr">
        <is>
          <t>m²</t>
        </is>
      </c>
      <c r="D51" s="30" t="n">
        <v>101.7</v>
      </c>
      <c r="E51" s="68" t="inlineStr">
        <is>
          <t>↓ candidatos encontrados ↓</t>
        </is>
      </c>
      <c r="F51" s="69" t="n"/>
      <c r="G51" s="69" t="n"/>
      <c r="H51" s="69" t="n"/>
      <c r="I51" s="69" t="n"/>
    </row>
    <row r="52">
      <c r="A52" s="70" t="inlineStr"/>
      <c r="B52" s="71" t="inlineStr"/>
      <c r="C52" s="72" t="n"/>
      <c r="D52" s="72" t="n"/>
      <c r="E52" s="73" t="inlineStr">
        <is>
          <t>SINAPI</t>
        </is>
      </c>
      <c r="F52" s="73" t="inlineStr">
        <is>
          <t>~96114</t>
        </is>
      </c>
      <c r="G52" s="74" t="inlineStr">
        <is>
          <t>FORRO EM DRYWALL, PARA AMBIENTES COMERCIAIS, INCLUSIVE ESTRUTURA BIRECIONAL DE FIXAÇÃO. AF_08/2</t>
        </is>
      </c>
      <c r="H52" s="75" t="inlineStr">
        <is>
          <t>M2</t>
        </is>
      </c>
      <c r="I52" s="73" t="inlineStr">
        <is>
          <t>✓ IA conferiu</t>
        </is>
      </c>
    </row>
    <row r="53">
      <c r="A53" s="70" t="inlineStr"/>
      <c r="B53" s="71" t="inlineStr"/>
      <c r="C53" s="72" t="n"/>
      <c r="D53" s="72" t="n"/>
      <c r="E53" s="73" t="inlineStr">
        <is>
          <t>SINAPI</t>
        </is>
      </c>
      <c r="F53" s="73" t="inlineStr">
        <is>
          <t>~96113</t>
        </is>
      </c>
      <c r="G53" s="74" t="inlineStr">
        <is>
          <t>FORRO EM PLACAS DE GESSO, PARA AMBIENTES COMERCIAIS. AF_08/2023_PS</t>
        </is>
      </c>
      <c r="H53" s="75" t="inlineStr">
        <is>
          <t>M2</t>
        </is>
      </c>
      <c r="I53" s="73" t="inlineStr">
        <is>
          <t>41% (texto)</t>
        </is>
      </c>
    </row>
    <row r="55">
      <c r="A55" s="67" t="inlineStr">
        <is>
          <t>6.2</t>
        </is>
      </c>
      <c r="B55" s="49" t="inlineStr">
        <is>
          <t>Sanca de gesso perimetral</t>
        </is>
      </c>
      <c r="C55" s="30" t="inlineStr">
        <is>
          <t>m</t>
        </is>
      </c>
      <c r="D55" s="30" t="n">
        <v>46</v>
      </c>
      <c r="E55" s="68" t="inlineStr">
        <is>
          <t>↓ candidatos encontrados ↓</t>
        </is>
      </c>
      <c r="F55" s="69" t="n"/>
      <c r="G55" s="69" t="n"/>
      <c r="H55" s="69" t="n"/>
      <c r="I55" s="69" t="n"/>
    </row>
    <row r="56">
      <c r="A56" s="70" t="inlineStr"/>
      <c r="B56" s="71" t="inlineStr"/>
      <c r="C56" s="72" t="n"/>
      <c r="D56" s="72" t="n"/>
      <c r="E56" s="73" t="inlineStr">
        <is>
          <t>SINAPI</t>
        </is>
      </c>
      <c r="F56" s="73" t="inlineStr">
        <is>
          <t>99054</t>
        </is>
      </c>
      <c r="G56" s="74" t="inlineStr">
        <is>
          <t>ACABAMENTOS PARA FORRO (SANCA DE GESSO, MONTADA NA OBRA). AF_08/2023_PS</t>
        </is>
      </c>
      <c r="H56" s="75" t="inlineStr">
        <is>
          <t>M2</t>
        </is>
      </c>
      <c r="I56" s="73" t="inlineStr">
        <is>
          <t>✓ IA conferiu</t>
        </is>
      </c>
    </row>
    <row r="57">
      <c r="A57" s="70" t="inlineStr"/>
      <c r="B57" s="71" t="inlineStr"/>
      <c r="C57" s="72" t="n"/>
      <c r="D57" s="72" t="n"/>
      <c r="E57" s="73" t="inlineStr">
        <is>
          <t>SINAPI</t>
        </is>
      </c>
      <c r="F57" s="73" t="inlineStr">
        <is>
          <t>~86904</t>
        </is>
      </c>
      <c r="G57" s="74" t="inlineStr">
        <is>
          <t>LAVATÓRIO LOUÇA BRANCA SUSPENSO, *40 X 30* CM OU EQUIVALENTE, PADRÃO POPULAR - FORNECIMENTO E I</t>
        </is>
      </c>
      <c r="H57" s="75" t="inlineStr">
        <is>
          <t>UN</t>
        </is>
      </c>
      <c r="I57" s="73" t="inlineStr">
        <is>
          <t>15% (texto)</t>
        </is>
      </c>
    </row>
    <row r="59">
      <c r="A59" s="67" t="inlineStr">
        <is>
          <t>7.1</t>
        </is>
      </c>
      <c r="B59" s="49" t="inlineStr">
        <is>
          <t>Porta de madeira 80x210 com batente e ferragens</t>
        </is>
      </c>
      <c r="C59" s="30" t="inlineStr">
        <is>
          <t>un</t>
        </is>
      </c>
      <c r="D59" s="30" t="n">
        <v>6</v>
      </c>
      <c r="E59" s="68" t="inlineStr">
        <is>
          <t>↓ candidatos encontrados ↓</t>
        </is>
      </c>
      <c r="F59" s="69" t="n"/>
      <c r="G59" s="69" t="n"/>
      <c r="H59" s="69" t="n"/>
      <c r="I59" s="69" t="n"/>
    </row>
    <row r="60">
      <c r="A60" s="70" t="inlineStr"/>
      <c r="B60" s="71" t="inlineStr"/>
      <c r="C60" s="72" t="n"/>
      <c r="D60" s="72" t="n"/>
      <c r="E60" s="73" t="inlineStr">
        <is>
          <t>SINAPI</t>
        </is>
      </c>
      <c r="F60" s="73" t="inlineStr">
        <is>
          <t>91314</t>
        </is>
      </c>
      <c r="G60" s="74" t="inlineStr">
        <is>
          <t>KIT DE PORTA DE MADEIRA PARA PINTURA, SEMI-OCA (LEVE OU MÉDIA), PADRÃO POPULAR, 80X210CM, ESPES</t>
        </is>
      </c>
      <c r="H60" s="75" t="inlineStr">
        <is>
          <t>UN</t>
        </is>
      </c>
      <c r="I60" s="73" t="inlineStr">
        <is>
          <t>✓ IA conferiu</t>
        </is>
      </c>
    </row>
    <row r="61">
      <c r="A61" s="70" t="inlineStr"/>
      <c r="B61" s="71" t="inlineStr"/>
      <c r="C61" s="72" t="n"/>
      <c r="D61" s="72" t="n"/>
      <c r="E61" s="73" t="inlineStr">
        <is>
          <t>SINAPI</t>
        </is>
      </c>
      <c r="F61" s="73" t="inlineStr">
        <is>
          <t>91297</t>
        </is>
      </c>
      <c r="G61" s="74" t="inlineStr">
        <is>
          <t>PORTA DE MADEIRA FRISADA, SEMI-OCA (LEVE OU MÉDIA), 80X210CM, ESPESSURA DE 3,5CM, INCLUSO DOBRA</t>
        </is>
      </c>
      <c r="H61" s="75" t="inlineStr">
        <is>
          <t>UN</t>
        </is>
      </c>
      <c r="I61" s="73" t="inlineStr">
        <is>
          <t>37% (texto)</t>
        </is>
      </c>
    </row>
    <row r="63">
      <c r="A63" s="67" t="inlineStr">
        <is>
          <t>7.2</t>
        </is>
      </c>
      <c r="B63" s="49" t="inlineStr">
        <is>
          <t>Porta de vidro temperado 90x210</t>
        </is>
      </c>
      <c r="C63" s="30" t="inlineStr">
        <is>
          <t>un</t>
        </is>
      </c>
      <c r="D63" s="30" t="n">
        <v>2</v>
      </c>
      <c r="E63" s="68" t="inlineStr">
        <is>
          <t>↓ candidatos encontrados ↓</t>
        </is>
      </c>
      <c r="F63" s="69" t="n"/>
      <c r="G63" s="69" t="n"/>
      <c r="H63" s="69" t="n"/>
      <c r="I63" s="69" t="n"/>
    </row>
    <row r="64">
      <c r="A64" s="70" t="inlineStr"/>
      <c r="B64" s="71" t="inlineStr"/>
      <c r="C64" s="72" t="n"/>
      <c r="D64" s="72" t="n"/>
      <c r="E64" s="73" t="inlineStr">
        <is>
          <t>SINAPI</t>
        </is>
      </c>
      <c r="F64" s="73" t="inlineStr">
        <is>
          <t>102184</t>
        </is>
      </c>
      <c r="G64" s="74" t="inlineStr">
        <is>
          <t>PORTA DE ABRIR COM MOLA HIDRÁULICA, EM VIDRO TEMPERADO, 90X210 CM, ESPESSURA 10 MM, INCLUSIVE A</t>
        </is>
      </c>
      <c r="H64" s="75" t="inlineStr">
        <is>
          <t>UN</t>
        </is>
      </c>
      <c r="I64" s="73" t="inlineStr">
        <is>
          <t>✓ IA conferiu</t>
        </is>
      </c>
    </row>
    <row r="65">
      <c r="A65" s="70" t="inlineStr"/>
      <c r="B65" s="71" t="inlineStr"/>
      <c r="C65" s="72" t="n"/>
      <c r="D65" s="72" t="n"/>
      <c r="E65" s="73" t="inlineStr">
        <is>
          <t>SINAPI</t>
        </is>
      </c>
      <c r="F65" s="73" t="inlineStr">
        <is>
          <t>~106319</t>
        </is>
      </c>
      <c r="G65" s="74" t="inlineStr">
        <is>
          <t>PORTA DE ABRIR COM MOLA HIDRÁULICA, EM VIDRO TEMPERADO, 80X210 CM, ESPESSURA 10 MM, INCLUSIVE A</t>
        </is>
      </c>
      <c r="H65" s="75" t="inlineStr">
        <is>
          <t>UN</t>
        </is>
      </c>
      <c r="I65" s="73" t="inlineStr">
        <is>
          <t>56% (texto)</t>
        </is>
      </c>
    </row>
    <row r="67">
      <c r="A67" s="67" t="inlineStr">
        <is>
          <t>8.1</t>
        </is>
      </c>
      <c r="B67" s="49" t="inlineStr">
        <is>
          <t>Luminária LED de embutir 60x60</t>
        </is>
      </c>
      <c r="C67" s="30" t="inlineStr">
        <is>
          <t>un</t>
        </is>
      </c>
      <c r="D67" s="30" t="n">
        <v>24</v>
      </c>
      <c r="E67" s="68" t="inlineStr">
        <is>
          <t>↓ candidatos encontrados ↓</t>
        </is>
      </c>
      <c r="F67" s="69" t="n"/>
      <c r="G67" s="69" t="n"/>
      <c r="H67" s="69" t="n"/>
      <c r="I67" s="69" t="n"/>
    </row>
    <row r="68">
      <c r="A68" s="70" t="inlineStr"/>
      <c r="B68" s="71" t="inlineStr"/>
      <c r="C68" s="72" t="n"/>
      <c r="D68" s="72" t="n"/>
      <c r="E68" s="73" t="inlineStr">
        <is>
          <t>SINAPI</t>
        </is>
      </c>
      <c r="F68" s="73" t="inlineStr">
        <is>
          <t>105542</t>
        </is>
      </c>
      <c r="G68" s="74" t="inlineStr">
        <is>
          <t>LUMINÁRIA LED DE EMBUTIR - QUADRADA 60X60CM, INCLUSO DRIVER - FORNECIMENTO E INSTALAÇÃO. AF_09/</t>
        </is>
      </c>
      <c r="H68" s="75" t="inlineStr">
        <is>
          <t>UN</t>
        </is>
      </c>
      <c r="I68" s="73" t="inlineStr">
        <is>
          <t>✓ IA conferiu</t>
        </is>
      </c>
    </row>
    <row r="69">
      <c r="A69" s="70" t="inlineStr"/>
      <c r="B69" s="71" t="inlineStr"/>
      <c r="C69" s="72" t="n"/>
      <c r="D69" s="72" t="n"/>
      <c r="E69" s="73" t="inlineStr">
        <is>
          <t>SINAPI</t>
        </is>
      </c>
      <c r="F69" s="73" t="inlineStr">
        <is>
          <t>~103786</t>
        </is>
      </c>
      <c r="G69" s="74" t="inlineStr">
        <is>
          <t>LUMINÁRIA TIPO PLAFON QUADRADA, DE EMBUTIR, COM LED DE 12 W - FORNECIMENTO E INSTALAÇÃO. AF_09/</t>
        </is>
      </c>
      <c r="H69" s="75" t="inlineStr">
        <is>
          <t>UN</t>
        </is>
      </c>
      <c r="I69" s="73" t="inlineStr">
        <is>
          <t>44% (texto)</t>
        </is>
      </c>
    </row>
    <row r="71">
      <c r="A71" s="67" t="inlineStr">
        <is>
          <t>8.2</t>
        </is>
      </c>
      <c r="B71" s="49" t="inlineStr">
        <is>
          <t>Spot LED de embutir redondo</t>
        </is>
      </c>
      <c r="C71" s="30" t="inlineStr">
        <is>
          <t>un</t>
        </is>
      </c>
      <c r="D71" s="30" t="n">
        <v>18</v>
      </c>
      <c r="E71" s="68" t="inlineStr">
        <is>
          <t>↓ candidatos encontrados ↓</t>
        </is>
      </c>
      <c r="F71" s="69" t="n"/>
      <c r="G71" s="69" t="n"/>
      <c r="H71" s="69" t="n"/>
      <c r="I71" s="69" t="n"/>
    </row>
    <row r="72">
      <c r="A72" s="70" t="inlineStr"/>
      <c r="B72" s="71" t="inlineStr"/>
      <c r="C72" s="72" t="n"/>
      <c r="D72" s="72" t="n"/>
      <c r="E72" s="73" t="inlineStr">
        <is>
          <t>SINAPI</t>
        </is>
      </c>
      <c r="F72" s="73" t="inlineStr">
        <is>
          <t>~105546</t>
        </is>
      </c>
      <c r="G72" s="74" t="inlineStr">
        <is>
          <t>LUMINÁRIA TIPO SPOT, DE EMBUTIR, COM 1 LÂMPADA LED PAR20 - FORNECIMENTO E INSTALAÇÃO. AF_09/202</t>
        </is>
      </c>
      <c r="H72" s="75" t="inlineStr">
        <is>
          <t>UN</t>
        </is>
      </c>
      <c r="I72" s="73" t="inlineStr">
        <is>
          <t>✓ IA conferiu</t>
        </is>
      </c>
    </row>
    <row r="73">
      <c r="A73" s="70" t="inlineStr"/>
      <c r="B73" s="71" t="inlineStr"/>
      <c r="C73" s="72" t="n"/>
      <c r="D73" s="72" t="n"/>
      <c r="E73" s="73" t="inlineStr">
        <is>
          <t>SINAPI</t>
        </is>
      </c>
      <c r="F73" s="73" t="inlineStr">
        <is>
          <t>~105545</t>
        </is>
      </c>
      <c r="G73" s="74" t="inlineStr">
        <is>
          <t>LUMINÁRIA TIPO SPOT, DE SOBREPOR, COM 1 LÂMPADA LED PAR20 - FORNECIMENTO E INSTALAÇÃO. AF_09/20</t>
        </is>
      </c>
      <c r="H73" s="75" t="inlineStr">
        <is>
          <t>UN</t>
        </is>
      </c>
      <c r="I73" s="73" t="inlineStr">
        <is>
          <t>28% (texto)</t>
        </is>
      </c>
    </row>
    <row r="75">
      <c r="A75" s="63" t="inlineStr">
        <is>
          <t>8.3</t>
        </is>
      </c>
      <c r="B75" s="64" t="inlineStr">
        <is>
          <t>Pendente decorativo sobre bancada</t>
        </is>
      </c>
      <c r="C75" s="63" t="inlineStr">
        <is>
          <t>un</t>
        </is>
      </c>
      <c r="D75" s="63" t="n">
        <v>3</v>
      </c>
      <c r="E75" s="65" t="inlineStr">
        <is>
          <t>Sem correspondência no SINAPI — a IA conferiu os candidatos e nenhum é o mesmo serviço. Buscar manualmente em https://www.caixa.gov.br/sinapi</t>
        </is>
      </c>
      <c r="F75" s="66" t="n"/>
      <c r="G75" s="66" t="n"/>
      <c r="H75" s="66" t="n"/>
      <c r="I75" s="66" t="n"/>
    </row>
    <row r="76">
      <c r="A76" s="67" t="inlineStr">
        <is>
          <t>9.1</t>
        </is>
      </c>
      <c r="B76" s="49" t="inlineStr">
        <is>
          <t>Ponto de tomada 2P+T 10A</t>
        </is>
      </c>
      <c r="C76" s="30" t="inlineStr">
        <is>
          <t>un</t>
        </is>
      </c>
      <c r="D76" s="30" t="n">
        <v>32</v>
      </c>
      <c r="E76" s="68" t="inlineStr">
        <is>
          <t>↓ candidatos encontrados ↓</t>
        </is>
      </c>
      <c r="F76" s="69" t="n"/>
      <c r="G76" s="69" t="n"/>
      <c r="H76" s="69" t="n"/>
      <c r="I76" s="69" t="n"/>
    </row>
    <row r="77">
      <c r="A77" s="70" t="inlineStr"/>
      <c r="B77" s="71" t="inlineStr"/>
      <c r="C77" s="72" t="n"/>
      <c r="D77" s="72" t="n"/>
      <c r="E77" s="73" t="inlineStr">
        <is>
          <t>SINAPI</t>
        </is>
      </c>
      <c r="F77" s="73" t="inlineStr">
        <is>
          <t>91996</t>
        </is>
      </c>
      <c r="G77" s="74" t="inlineStr">
        <is>
          <t>TOMADA MÉDIA DE EMBUTIR (1 MÓDULO), 2P+T 10 A, INCLUINDO SUPORTE E PLACA - FORNECIMENTO E INSTA</t>
        </is>
      </c>
      <c r="H77" s="75" t="inlineStr">
        <is>
          <t>UN</t>
        </is>
      </c>
      <c r="I77" s="73" t="inlineStr">
        <is>
          <t>✓ IA conferiu</t>
        </is>
      </c>
    </row>
    <row r="78">
      <c r="A78" s="70" t="inlineStr"/>
      <c r="B78" s="71" t="inlineStr"/>
      <c r="C78" s="72" t="n"/>
      <c r="D78" s="72" t="n"/>
      <c r="E78" s="73" t="inlineStr">
        <is>
          <t>SINAPI</t>
        </is>
      </c>
      <c r="F78" s="73" t="inlineStr">
        <is>
          <t>~91997</t>
        </is>
      </c>
      <c r="G78" s="74" t="inlineStr">
        <is>
          <t>TOMADA MÉDIA DE EMBUTIR (1 MÓDULO), 2P+T 20 A, INCLUINDO SUPORTE E PLACA - FORNECIMENTO E INSTA</t>
        </is>
      </c>
      <c r="H78" s="75" t="inlineStr">
        <is>
          <t>UN</t>
        </is>
      </c>
      <c r="I78" s="73" t="inlineStr">
        <is>
          <t>33% (texto)</t>
        </is>
      </c>
    </row>
    <row r="80">
      <c r="A80" s="67" t="inlineStr">
        <is>
          <t>9.2</t>
        </is>
      </c>
      <c r="B80" s="49" t="inlineStr">
        <is>
          <t>Ponto de interruptor</t>
        </is>
      </c>
      <c r="C80" s="30" t="inlineStr">
        <is>
          <t>un</t>
        </is>
      </c>
      <c r="D80" s="30" t="n">
        <v>14</v>
      </c>
      <c r="E80" s="68" t="inlineStr">
        <is>
          <t>↓ candidatos encontrados ↓</t>
        </is>
      </c>
      <c r="F80" s="69" t="n"/>
      <c r="G80" s="69" t="n"/>
      <c r="H80" s="69" t="n"/>
      <c r="I80" s="69" t="n"/>
    </row>
    <row r="81">
      <c r="A81" s="70" t="inlineStr"/>
      <c r="B81" s="71" t="inlineStr"/>
      <c r="C81" s="72" t="n"/>
      <c r="D81" s="72" t="n"/>
      <c r="E81" s="73" t="inlineStr">
        <is>
          <t>SINAPI</t>
        </is>
      </c>
      <c r="F81" s="73" t="inlineStr">
        <is>
          <t>~91952</t>
        </is>
      </c>
      <c r="G81" s="74" t="inlineStr">
        <is>
          <t xml:space="preserve">INTERRUPTOR SIMPLES (1 MÓDULO), 10A/250V, SEM SUPORTE E SEM PLACA - FORNECIMENTO E INSTALAÇÃO. </t>
        </is>
      </c>
      <c r="H81" s="75" t="inlineStr">
        <is>
          <t>UN</t>
        </is>
      </c>
      <c r="I81" s="73" t="inlineStr">
        <is>
          <t>✓ IA conferiu</t>
        </is>
      </c>
    </row>
    <row r="82">
      <c r="A82" s="70" t="inlineStr"/>
      <c r="B82" s="71" t="inlineStr"/>
      <c r="C82" s="72" t="n"/>
      <c r="D82" s="72" t="n"/>
      <c r="E82" s="73" t="inlineStr">
        <is>
          <t>SINAPI</t>
        </is>
      </c>
      <c r="F82" s="73" t="inlineStr">
        <is>
          <t>~91954</t>
        </is>
      </c>
      <c r="G82" s="74" t="inlineStr">
        <is>
          <t>INTERRUPTOR PARALELO (1 MÓDULO), 10A/250V, SEM SUPORTE E SEM PLACA - FORNECIMENTO E INSTALAÇÃO.</t>
        </is>
      </c>
      <c r="H82" s="75" t="inlineStr">
        <is>
          <t>UN</t>
        </is>
      </c>
      <c r="I82" s="73" t="inlineStr">
        <is>
          <t>61% (texto)</t>
        </is>
      </c>
    </row>
    <row r="84">
      <c r="A84" s="67" t="inlineStr">
        <is>
          <t>9.3</t>
        </is>
      </c>
      <c r="B84" s="49" t="inlineStr">
        <is>
          <t>Ponto de rede/dados RJ45 cat6</t>
        </is>
      </c>
      <c r="C84" s="30" t="inlineStr">
        <is>
          <t>un</t>
        </is>
      </c>
      <c r="D84" s="30" t="n">
        <v>20</v>
      </c>
      <c r="E84" s="68" t="inlineStr">
        <is>
          <t>↓ candidatos encontrados ↓</t>
        </is>
      </c>
      <c r="F84" s="69" t="n"/>
      <c r="G84" s="69" t="n"/>
      <c r="H84" s="69" t="n"/>
      <c r="I84" s="69" t="n"/>
    </row>
    <row r="85">
      <c r="A85" s="70" t="inlineStr"/>
      <c r="B85" s="71" t="inlineStr"/>
      <c r="C85" s="72" t="n"/>
      <c r="D85" s="72" t="n"/>
      <c r="E85" s="73" t="inlineStr">
        <is>
          <t>SINAPI</t>
        </is>
      </c>
      <c r="F85" s="73" t="inlineStr">
        <is>
          <t>106077</t>
        </is>
      </c>
      <c r="G85" s="74" t="inlineStr">
        <is>
          <t>TOMADA RJ45 CAT 6E (COMPLETA) - FORNECIMENTO E INSTALAÇÃO. AF_08/2025</t>
        </is>
      </c>
      <c r="H85" s="75" t="inlineStr">
        <is>
          <t>UN</t>
        </is>
      </c>
      <c r="I85" s="73" t="inlineStr">
        <is>
          <t>✓ IA conferiu</t>
        </is>
      </c>
    </row>
    <row r="86">
      <c r="A86" s="70" t="inlineStr"/>
      <c r="B86" s="71" t="inlineStr"/>
      <c r="C86" s="72" t="n"/>
      <c r="D86" s="72" t="n"/>
      <c r="E86" s="73" t="inlineStr">
        <is>
          <t>SINAPI</t>
        </is>
      </c>
      <c r="F86" s="73" t="inlineStr">
        <is>
          <t>98307</t>
        </is>
      </c>
      <c r="G86" s="74" t="inlineStr">
        <is>
          <t>TOMADA DE REDE RJ45 - FORNECIMENTO E INSTALAÇÃO. AF_08/2025</t>
        </is>
      </c>
      <c r="H86" s="75" t="inlineStr">
        <is>
          <t>UN</t>
        </is>
      </c>
      <c r="I86" s="73" t="inlineStr">
        <is>
          <t>40% (texto)</t>
        </is>
      </c>
    </row>
    <row r="88">
      <c r="A88" s="67" t="inlineStr">
        <is>
          <t>9.4</t>
        </is>
      </c>
      <c r="B88" s="49" t="inlineStr">
        <is>
          <t>Eletroduto flexível corrugado DN 25 no forro (pontos novos)</t>
        </is>
      </c>
      <c r="C88" s="30" t="inlineStr">
        <is>
          <t>m</t>
        </is>
      </c>
      <c r="D88" s="30" t="n">
        <v>0</v>
      </c>
      <c r="E88" s="68" t="inlineStr">
        <is>
          <t>↓ candidatos encontrados ↓</t>
        </is>
      </c>
      <c r="F88" s="69" t="n"/>
      <c r="G88" s="69" t="n"/>
      <c r="H88" s="69" t="n"/>
      <c r="I88" s="69" t="n"/>
    </row>
    <row r="89">
      <c r="A89" s="70" t="inlineStr"/>
      <c r="B89" s="71" t="inlineStr"/>
      <c r="C89" s="72" t="n"/>
      <c r="D89" s="72" t="n"/>
      <c r="E89" s="73" t="inlineStr">
        <is>
          <t>SINAPI</t>
        </is>
      </c>
      <c r="F89" s="73" t="inlineStr">
        <is>
          <t>91834</t>
        </is>
      </c>
      <c r="G89" s="74" t="inlineStr">
        <is>
          <t>ELETRODUTO FLEXÍVEL CORRUGADO, PVC, DN 25 MM (3/4"), PARA CIRCUITOS TERMINAIS, INSTALADO EM FOR</t>
        </is>
      </c>
      <c r="H89" s="75" t="inlineStr">
        <is>
          <t>M</t>
        </is>
      </c>
      <c r="I89" s="73" t="inlineStr">
        <is>
          <t>✓ IA conferiu</t>
        </is>
      </c>
    </row>
    <row r="91">
      <c r="A91" s="67" t="inlineStr">
        <is>
          <t>10.1</t>
        </is>
      </c>
      <c r="B91" s="49" t="inlineStr">
        <is>
          <t>Bacia sanitária com caixa acoplada</t>
        </is>
      </c>
      <c r="C91" s="30" t="inlineStr">
        <is>
          <t>un</t>
        </is>
      </c>
      <c r="D91" s="30" t="n">
        <v>3</v>
      </c>
      <c r="E91" s="68" t="inlineStr">
        <is>
          <t>↓ candidatos encontrados ↓</t>
        </is>
      </c>
      <c r="F91" s="69" t="n"/>
      <c r="G91" s="69" t="n"/>
      <c r="H91" s="69" t="n"/>
      <c r="I91" s="69" t="n"/>
    </row>
    <row r="92">
      <c r="A92" s="70" t="inlineStr"/>
      <c r="B92" s="71" t="inlineStr"/>
      <c r="C92" s="72" t="n"/>
      <c r="D92" s="72" t="n"/>
      <c r="E92" s="73" t="inlineStr">
        <is>
          <t>SINAPI</t>
        </is>
      </c>
      <c r="F92" s="73" t="inlineStr">
        <is>
          <t>86888</t>
        </is>
      </c>
      <c r="G92" s="74" t="inlineStr">
        <is>
          <t>BACIA SANITÁRIA COM CAIXA ACOPLADA LOUÇA BRANCA - FORNECIMENTO E INSTALAÇÃO. AF_02/2026</t>
        </is>
      </c>
      <c r="H92" s="75" t="inlineStr">
        <is>
          <t>UN</t>
        </is>
      </c>
      <c r="I92" s="73" t="inlineStr">
        <is>
          <t>✓ IA conferiu</t>
        </is>
      </c>
    </row>
    <row r="93">
      <c r="A93" s="70" t="inlineStr"/>
      <c r="B93" s="71" t="inlineStr"/>
      <c r="C93" s="72" t="n"/>
      <c r="D93" s="72" t="n"/>
      <c r="E93" s="73" t="inlineStr">
        <is>
          <t>SINAPI</t>
        </is>
      </c>
      <c r="F93" s="73" t="inlineStr">
        <is>
          <t>~100848</t>
        </is>
      </c>
      <c r="G93" s="74" t="inlineStr">
        <is>
          <t>BACIA SANITÁRIA INFANTIL LOUÇA BRANCA, COM TUBO DE LIGAÇÃO CROMADO - FORNECIMENTO E INSTALAÇÃO.</t>
        </is>
      </c>
      <c r="H93" s="75" t="inlineStr">
        <is>
          <t>UN</t>
        </is>
      </c>
      <c r="I93" s="73" t="inlineStr">
        <is>
          <t>45% (texto)</t>
        </is>
      </c>
    </row>
    <row r="95">
      <c r="A95" s="63" t="inlineStr">
        <is>
          <t>10.2</t>
        </is>
      </c>
      <c r="B95" s="64" t="inlineStr">
        <is>
          <t>Cuba de apoio + torneira (copa)</t>
        </is>
      </c>
      <c r="C95" s="63" t="inlineStr">
        <is>
          <t>un</t>
        </is>
      </c>
      <c r="D95" s="63" t="n">
        <v>1</v>
      </c>
      <c r="E95" s="65" t="inlineStr">
        <is>
          <t>Sem correspondência no SINAPI — a IA conferiu os candidatos e nenhum é o mesmo serviço. Buscar manualmente em https://www.caixa.gov.br/sinapi</t>
        </is>
      </c>
      <c r="F95" s="66" t="n"/>
      <c r="G95" s="66" t="n"/>
      <c r="H95" s="66" t="n"/>
      <c r="I95" s="66" t="n"/>
    </row>
    <row r="96">
      <c r="A96" s="67" t="inlineStr">
        <is>
          <t>11.1</t>
        </is>
      </c>
      <c r="B96" s="49" t="inlineStr">
        <is>
          <t>Ar-condicionado split cassete 36.000 BTU</t>
        </is>
      </c>
      <c r="C96" s="30" t="inlineStr">
        <is>
          <t>un</t>
        </is>
      </c>
      <c r="D96" s="30" t="n">
        <v>2</v>
      </c>
      <c r="E96" s="68" t="inlineStr">
        <is>
          <t>↓ candidatos encontrados ↓</t>
        </is>
      </c>
      <c r="F96" s="69" t="n"/>
      <c r="G96" s="69" t="n"/>
      <c r="H96" s="69" t="n"/>
      <c r="I96" s="69" t="n"/>
    </row>
    <row r="97">
      <c r="A97" s="70" t="inlineStr"/>
      <c r="B97" s="71" t="inlineStr"/>
      <c r="C97" s="72" t="n"/>
      <c r="D97" s="72" t="n"/>
      <c r="E97" s="73" t="inlineStr">
        <is>
          <t>SINAPI</t>
        </is>
      </c>
      <c r="F97" s="73" t="inlineStr">
        <is>
          <t>103271</t>
        </is>
      </c>
      <c r="G97" s="74" t="inlineStr">
        <is>
          <t>AR CONDICIONADO SPLIT ON/OFF, CASSETE (TETO), FRIO 4 VIAS 36000 BTU/H - FORNECIMENTO E INSTALAÇ</t>
        </is>
      </c>
      <c r="H97" s="75" t="inlineStr">
        <is>
          <t>UN</t>
        </is>
      </c>
      <c r="I97" s="73" t="inlineStr">
        <is>
          <t>✓ IA conferiu</t>
        </is>
      </c>
    </row>
    <row r="98">
      <c r="A98" s="70" t="inlineStr"/>
      <c r="B98" s="71" t="inlineStr"/>
      <c r="C98" s="72" t="n"/>
      <c r="D98" s="72" t="n"/>
      <c r="E98" s="73" t="inlineStr">
        <is>
          <t>SINAPI</t>
        </is>
      </c>
      <c r="F98" s="73" t="inlineStr">
        <is>
          <t>~89866</t>
        </is>
      </c>
      <c r="G98" s="74" t="inlineStr">
        <is>
          <t>JOELHO 90 GRAUS, PVC, SOLDÁVEL, DN 25MM, INSTALADO EM DRENO DE AR-CONDICIONADO - FORNECIMENTO E</t>
        </is>
      </c>
      <c r="H98" s="75" t="inlineStr">
        <is>
          <t>UN</t>
        </is>
      </c>
      <c r="I98" s="73" t="inlineStr">
        <is>
          <t>40% (texto)</t>
        </is>
      </c>
    </row>
    <row r="101">
      <c r="A101" s="7" t="inlineStr">
        <is>
          <t>Como ler: SEMELHANÇA % indica o quanto a descrição do item se parece com a da composição SINAPI. Acima de 70% = referência forte. 40-70% = revisar. Abaixo de 30% = candidato fraco, buscar código manualmente em https://www.caixa.gov.br/sinapi.</t>
        </is>
      </c>
    </row>
  </sheetData>
  <mergeCells count="32">
    <mergeCell ref="E12:I12"/>
    <mergeCell ref="E55:I55"/>
    <mergeCell ref="E24:I24"/>
    <mergeCell ref="E71:I71"/>
    <mergeCell ref="E67:I67"/>
    <mergeCell ref="A3:I3"/>
    <mergeCell ref="E8:I8"/>
    <mergeCell ref="E48:I48"/>
    <mergeCell ref="A101:I101"/>
    <mergeCell ref="E88:I88"/>
    <mergeCell ref="E44:I44"/>
    <mergeCell ref="A2:I2"/>
    <mergeCell ref="E29:I29"/>
    <mergeCell ref="E51:I51"/>
    <mergeCell ref="E20:I20"/>
    <mergeCell ref="E28:I28"/>
    <mergeCell ref="E63:I63"/>
    <mergeCell ref="E84:I84"/>
    <mergeCell ref="E40:I40"/>
    <mergeCell ref="E59:I59"/>
    <mergeCell ref="E6:I6"/>
    <mergeCell ref="E95:I95"/>
    <mergeCell ref="E80:I80"/>
    <mergeCell ref="E36:I36"/>
    <mergeCell ref="E76:I76"/>
    <mergeCell ref="E7:I7"/>
    <mergeCell ref="E91:I91"/>
    <mergeCell ref="E16:I16"/>
    <mergeCell ref="E32:I32"/>
    <mergeCell ref="A1:I1"/>
    <mergeCell ref="E75:I75"/>
    <mergeCell ref="E96:I9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2026-10-30T21:56:35Z</dcterms:created>
  <dcterms:modified xmlns:dcterms="http://purl.org/dc/terms/" xmlns:xsi="http://www.w3.org/2001/XMLSchema-instance" xsi:type="dcterms:W3CDTF">2026-10-30T21:56:35Z</dcterms:modified>
</cp:coreProperties>
</file>