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FÍSICO" sheetId="2" state="visible" r:id="rId2"/>
    <sheet xmlns:r="http://schemas.openxmlformats.org/officeDocument/2006/relationships" name="FINANCEI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sz val="10"/>
    </font>
    <font>
      <name val="Calibri"/>
      <b val="1"/>
      <color rgb="000F172A"/>
      <sz val="10"/>
    </font>
    <font>
      <name val="Calibri"/>
      <i val="1"/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FFF0A6"/>
      </patternFill>
    </fill>
    <fill>
      <patternFill patternType="solid">
        <fgColor rgb="00E8ECF4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9" fontId="0" fillId="3" borderId="1" pivotButton="0" quotePrefix="0" xfId="0"/>
    <xf numFmtId="9" fontId="3" fillId="0" borderId="1" pivotButton="0" quotePrefix="0" xfId="0"/>
    <xf numFmtId="4" fontId="0" fillId="3" borderId="1" pivotButton="0" quotePrefix="0" xfId="0"/>
    <xf numFmtId="4" fontId="0" fillId="0" borderId="1" pivotButton="0" quotePrefix="0" xfId="0"/>
    <xf numFmtId="0" fontId="3" fillId="0" borderId="0" pivotButton="0" quotePrefix="0" xfId="0"/>
    <xf numFmtId="4" fontId="3" fillId="4" borderId="0" pivotButton="0" quotePrefix="0" xfId="0"/>
    <xf numFmtId="4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— desembolso acumulado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'FINANCEIRO'!$C$3:$T$3</f>
            </numRef>
          </cat>
          <val>
            <numRef>
              <f>'FINANCEIRO'!$C$18:$T$18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acumulado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>
      <c r="B2" s="1" t="inlineStr">
        <is>
          <t>Cronograma físico-financeiro de obra — modelo AI.arq</t>
        </is>
      </c>
    </row>
    <row r="3">
      <c r="B3" s="2" t="inlineStr"/>
    </row>
    <row r="4">
      <c r="B4" s="3" t="inlineStr">
        <is>
          <t>Você preenche 3 coisas</t>
        </is>
      </c>
    </row>
    <row r="5">
      <c r="B5" s="2" t="inlineStr">
        <is>
          <t>1. Na aba FÍSICO: o percentual de avanço previsto de cada disciplina, mês a mês. A coluna de verificação mostra se a linha fecha 100%.</t>
        </is>
      </c>
    </row>
    <row r="6">
      <c r="B6" s="2" t="inlineStr">
        <is>
          <t>2. Na aba FINANCEIRO: o valor total de cada disciplina (vem do seu orçamento).</t>
        </is>
      </c>
    </row>
    <row r="7">
      <c r="B7" s="2" t="inlineStr">
        <is>
          <t>3. Só isso. O desembolso mensal, o acumulado e a curva S se calculam sozinhos, distribuindo o valor conforme o avanço físico que você lançou.</t>
        </is>
      </c>
    </row>
    <row r="8">
      <c r="B8" s="2" t="inlineStr"/>
    </row>
    <row r="9">
      <c r="B9" s="3" t="inlineStr">
        <is>
          <t>Sobre a curva S</t>
        </is>
      </c>
    </row>
    <row r="10">
      <c r="B10" s="2" t="inlineStr">
        <is>
          <t>A curva S é a linha do desembolso ACUMULADO ao longo do tempo — está na linha "% acumulado" da aba FINANCEIRO. Selecione essa linha e insira um gráfico de linhas para visualizá-la.</t>
        </is>
      </c>
    </row>
    <row r="11">
      <c r="B11" s="2" t="inlineStr"/>
    </row>
    <row r="12">
      <c r="B12" s="3" t="inlineStr">
        <is>
          <t>Aviso</t>
        </is>
      </c>
    </row>
    <row r="13">
      <c r="B13" s="4" t="inlineStr">
        <is>
          <t>Este modelo NÃO calcula o valor da obra. Ele distribui no tempo um valor que você já tem. Quem apura custo e preço é o orçamentista habilitado.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2" customWidth="1" min="20" max="20"/>
  </cols>
  <sheetData>
    <row r="1">
      <c r="A1" s="5" t="inlineStr">
        <is>
          <t>AVANÇO FÍSICO PREVISTO (% por mês)</t>
        </is>
      </c>
    </row>
    <row r="2">
      <c r="A2" s="6" t="inlineStr">
        <is>
          <t>Preencha em %. A última coluna avisa se a linha fecha 100%.</t>
        </is>
      </c>
    </row>
    <row r="3">
      <c r="A3" s="7" t="inlineStr">
        <is>
          <t>DISCIPLINA</t>
        </is>
      </c>
      <c r="B3" s="8" t="inlineStr">
        <is>
          <t>M1</t>
        </is>
      </c>
      <c r="C3" s="8" t="inlineStr">
        <is>
          <t>M2</t>
        </is>
      </c>
      <c r="D3" s="8" t="inlineStr">
        <is>
          <t>M3</t>
        </is>
      </c>
      <c r="E3" s="8" t="inlineStr">
        <is>
          <t>M4</t>
        </is>
      </c>
      <c r="F3" s="8" t="inlineStr">
        <is>
          <t>M5</t>
        </is>
      </c>
      <c r="G3" s="8" t="inlineStr">
        <is>
          <t>M6</t>
        </is>
      </c>
      <c r="H3" s="8" t="inlineStr">
        <is>
          <t>M7</t>
        </is>
      </c>
      <c r="I3" s="8" t="inlineStr">
        <is>
          <t>M8</t>
        </is>
      </c>
      <c r="J3" s="8" t="inlineStr">
        <is>
          <t>M9</t>
        </is>
      </c>
      <c r="K3" s="8" t="inlineStr">
        <is>
          <t>M10</t>
        </is>
      </c>
      <c r="L3" s="8" t="inlineStr">
        <is>
          <t>M11</t>
        </is>
      </c>
      <c r="M3" s="8" t="inlineStr">
        <is>
          <t>M12</t>
        </is>
      </c>
      <c r="N3" s="8" t="inlineStr">
        <is>
          <t>M13</t>
        </is>
      </c>
      <c r="O3" s="8" t="inlineStr">
        <is>
          <t>M14</t>
        </is>
      </c>
      <c r="P3" s="8" t="inlineStr">
        <is>
          <t>M15</t>
        </is>
      </c>
      <c r="Q3" s="8" t="inlineStr">
        <is>
          <t>M16</t>
        </is>
      </c>
      <c r="R3" s="8" t="inlineStr">
        <is>
          <t>M17</t>
        </is>
      </c>
      <c r="S3" s="8" t="inlineStr">
        <is>
          <t>M18</t>
        </is>
      </c>
      <c r="T3" s="8" t="inlineStr">
        <is>
          <t>SOMA</t>
        </is>
      </c>
    </row>
    <row r="4">
      <c r="A4" s="9" t="inlineStr">
        <is>
          <t>Serviços preliminares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>
        <f>IF(SUM(B4:S4)=0,"",SUM(B4:S4))</f>
        <v/>
      </c>
    </row>
    <row r="5">
      <c r="A5" s="9" t="inlineStr">
        <is>
          <t>Fundação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1">
        <f>IF(SUM(B5:S5)=0,"",SUM(B5:S5))</f>
        <v/>
      </c>
    </row>
    <row r="6">
      <c r="A6" s="9" t="inlineStr">
        <is>
          <t>Estrutura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1">
        <f>IF(SUM(B6:S6)=0,"",SUM(B6:S6))</f>
        <v/>
      </c>
    </row>
    <row r="7">
      <c r="A7" s="9" t="inlineStr">
        <is>
          <t>Alvenaria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1">
        <f>IF(SUM(B7:S7)=0,"",SUM(B7:S7))</f>
        <v/>
      </c>
    </row>
    <row r="8">
      <c r="A8" s="9" t="inlineStr">
        <is>
          <t>Cobertura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1">
        <f>IF(SUM(B8:S8)=0,"",SUM(B8:S8))</f>
        <v/>
      </c>
    </row>
    <row r="9">
      <c r="A9" s="9" t="inlineStr">
        <is>
          <t>Esquadrias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1">
        <f>IF(SUM(B9:S9)=0,"",SUM(B9:S9))</f>
        <v/>
      </c>
    </row>
    <row r="10">
      <c r="A10" s="9" t="inlineStr">
        <is>
          <t>Instalações elétricas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1">
        <f>IF(SUM(B10:S10)=0,"",SUM(B10:S10))</f>
        <v/>
      </c>
    </row>
    <row r="11">
      <c r="A11" s="9" t="inlineStr">
        <is>
          <t>Instalações hidráulicas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1">
        <f>IF(SUM(B11:S11)=0,"",SUM(B11:S11))</f>
        <v/>
      </c>
    </row>
    <row r="12">
      <c r="A12" s="9" t="inlineStr">
        <is>
          <t>Revestimentos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1">
        <f>IF(SUM(B12:S12)=0,"",SUM(B12:S12))</f>
        <v/>
      </c>
    </row>
    <row r="13">
      <c r="A13" s="9" t="inlineStr">
        <is>
          <t>Pisos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1">
        <f>IF(SUM(B13:S13)=0,"",SUM(B13:S13))</f>
        <v/>
      </c>
    </row>
    <row r="14">
      <c r="A14" s="9" t="inlineStr">
        <is>
          <t>Pintura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1">
        <f>IF(SUM(B14:S14)=0,"",SUM(B14:S14))</f>
        <v/>
      </c>
    </row>
    <row r="15">
      <c r="A15" s="9" t="inlineStr">
        <is>
          <t>Limpeza final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1">
        <f>IF(SUM(B15:S15)=0,"",SUM(B15:S15))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5" t="inlineStr">
        <is>
          <t>DESEMBOLSO POR MÊS (calculado)</t>
        </is>
      </c>
    </row>
    <row r="2">
      <c r="A2" s="6" t="inlineStr">
        <is>
          <t>Preencha só a coluna VALOR TOTAL. O resto é fórmula.</t>
        </is>
      </c>
    </row>
    <row r="3">
      <c r="A3" s="8" t="inlineStr">
        <is>
          <t>DISCIPLINA</t>
        </is>
      </c>
      <c r="B3" s="8" t="inlineStr">
        <is>
          <t>VALOR TOTAL (R$)</t>
        </is>
      </c>
      <c r="C3" s="8" t="inlineStr">
        <is>
          <t>M1</t>
        </is>
      </c>
      <c r="D3" s="8" t="inlineStr">
        <is>
          <t>M2</t>
        </is>
      </c>
      <c r="E3" s="8" t="inlineStr">
        <is>
          <t>M3</t>
        </is>
      </c>
      <c r="F3" s="8" t="inlineStr">
        <is>
          <t>M4</t>
        </is>
      </c>
      <c r="G3" s="8" t="inlineStr">
        <is>
          <t>M5</t>
        </is>
      </c>
      <c r="H3" s="8" t="inlineStr">
        <is>
          <t>M6</t>
        </is>
      </c>
      <c r="I3" s="8" t="inlineStr">
        <is>
          <t>M7</t>
        </is>
      </c>
      <c r="J3" s="8" t="inlineStr">
        <is>
          <t>M8</t>
        </is>
      </c>
      <c r="K3" s="8" t="inlineStr">
        <is>
          <t>M9</t>
        </is>
      </c>
      <c r="L3" s="8" t="inlineStr">
        <is>
          <t>M10</t>
        </is>
      </c>
      <c r="M3" s="8" t="inlineStr">
        <is>
          <t>M11</t>
        </is>
      </c>
      <c r="N3" s="8" t="inlineStr">
        <is>
          <t>M12</t>
        </is>
      </c>
      <c r="O3" s="8" t="inlineStr">
        <is>
          <t>M13</t>
        </is>
      </c>
      <c r="P3" s="8" t="inlineStr">
        <is>
          <t>M14</t>
        </is>
      </c>
      <c r="Q3" s="8" t="inlineStr">
        <is>
          <t>M15</t>
        </is>
      </c>
      <c r="R3" s="8" t="inlineStr">
        <is>
          <t>M16</t>
        </is>
      </c>
      <c r="S3" s="8" t="inlineStr">
        <is>
          <t>M17</t>
        </is>
      </c>
      <c r="T3" s="8" t="inlineStr">
        <is>
          <t>M18</t>
        </is>
      </c>
    </row>
    <row r="4">
      <c r="A4" s="9" t="inlineStr">
        <is>
          <t>Serviços preliminares</t>
        </is>
      </c>
      <c r="B4" s="12" t="n"/>
      <c r="C4" s="13">
        <f>IF($B4="","",$B4*FÍSICO!B4)</f>
        <v/>
      </c>
      <c r="D4" s="13">
        <f>IF($B4="","",$B4*FÍSICO!C4)</f>
        <v/>
      </c>
      <c r="E4" s="13">
        <f>IF($B4="","",$B4*FÍSICO!D4)</f>
        <v/>
      </c>
      <c r="F4" s="13">
        <f>IF($B4="","",$B4*FÍSICO!E4)</f>
        <v/>
      </c>
      <c r="G4" s="13">
        <f>IF($B4="","",$B4*FÍSICO!F4)</f>
        <v/>
      </c>
      <c r="H4" s="13">
        <f>IF($B4="","",$B4*FÍSICO!G4)</f>
        <v/>
      </c>
      <c r="I4" s="13">
        <f>IF($B4="","",$B4*FÍSICO!H4)</f>
        <v/>
      </c>
      <c r="J4" s="13">
        <f>IF($B4="","",$B4*FÍSICO!I4)</f>
        <v/>
      </c>
      <c r="K4" s="13">
        <f>IF($B4="","",$B4*FÍSICO!J4)</f>
        <v/>
      </c>
      <c r="L4" s="13">
        <f>IF($B4="","",$B4*FÍSICO!K4)</f>
        <v/>
      </c>
      <c r="M4" s="13">
        <f>IF($B4="","",$B4*FÍSICO!L4)</f>
        <v/>
      </c>
      <c r="N4" s="13">
        <f>IF($B4="","",$B4*FÍSICO!M4)</f>
        <v/>
      </c>
      <c r="O4" s="13">
        <f>IF($B4="","",$B4*FÍSICO!N4)</f>
        <v/>
      </c>
      <c r="P4" s="13">
        <f>IF($B4="","",$B4*FÍSICO!O4)</f>
        <v/>
      </c>
      <c r="Q4" s="13">
        <f>IF($B4="","",$B4*FÍSICO!P4)</f>
        <v/>
      </c>
      <c r="R4" s="13">
        <f>IF($B4="","",$B4*FÍSICO!Q4)</f>
        <v/>
      </c>
      <c r="S4" s="13">
        <f>IF($B4="","",$B4*FÍSICO!R4)</f>
        <v/>
      </c>
      <c r="T4" s="13">
        <f>IF($B4="","",$B4*FÍSICO!S4)</f>
        <v/>
      </c>
    </row>
    <row r="5">
      <c r="A5" s="9" t="inlineStr">
        <is>
          <t>Fundação</t>
        </is>
      </c>
      <c r="B5" s="12" t="n"/>
      <c r="C5" s="13">
        <f>IF($B5="","",$B5*FÍSICO!B5)</f>
        <v/>
      </c>
      <c r="D5" s="13">
        <f>IF($B5="","",$B5*FÍSICO!C5)</f>
        <v/>
      </c>
      <c r="E5" s="13">
        <f>IF($B5="","",$B5*FÍSICO!D5)</f>
        <v/>
      </c>
      <c r="F5" s="13">
        <f>IF($B5="","",$B5*FÍSICO!E5)</f>
        <v/>
      </c>
      <c r="G5" s="13">
        <f>IF($B5="","",$B5*FÍSICO!F5)</f>
        <v/>
      </c>
      <c r="H5" s="13">
        <f>IF($B5="","",$B5*FÍSICO!G5)</f>
        <v/>
      </c>
      <c r="I5" s="13">
        <f>IF($B5="","",$B5*FÍSICO!H5)</f>
        <v/>
      </c>
      <c r="J5" s="13">
        <f>IF($B5="","",$B5*FÍSICO!I5)</f>
        <v/>
      </c>
      <c r="K5" s="13">
        <f>IF($B5="","",$B5*FÍSICO!J5)</f>
        <v/>
      </c>
      <c r="L5" s="13">
        <f>IF($B5="","",$B5*FÍSICO!K5)</f>
        <v/>
      </c>
      <c r="M5" s="13">
        <f>IF($B5="","",$B5*FÍSICO!L5)</f>
        <v/>
      </c>
      <c r="N5" s="13">
        <f>IF($B5="","",$B5*FÍSICO!M5)</f>
        <v/>
      </c>
      <c r="O5" s="13">
        <f>IF($B5="","",$B5*FÍSICO!N5)</f>
        <v/>
      </c>
      <c r="P5" s="13">
        <f>IF($B5="","",$B5*FÍSICO!O5)</f>
        <v/>
      </c>
      <c r="Q5" s="13">
        <f>IF($B5="","",$B5*FÍSICO!P5)</f>
        <v/>
      </c>
      <c r="R5" s="13">
        <f>IF($B5="","",$B5*FÍSICO!Q5)</f>
        <v/>
      </c>
      <c r="S5" s="13">
        <f>IF($B5="","",$B5*FÍSICO!R5)</f>
        <v/>
      </c>
      <c r="T5" s="13">
        <f>IF($B5="","",$B5*FÍSICO!S5)</f>
        <v/>
      </c>
    </row>
    <row r="6">
      <c r="A6" s="9" t="inlineStr">
        <is>
          <t>Estrutura</t>
        </is>
      </c>
      <c r="B6" s="12" t="n"/>
      <c r="C6" s="13">
        <f>IF($B6="","",$B6*FÍSICO!B6)</f>
        <v/>
      </c>
      <c r="D6" s="13">
        <f>IF($B6="","",$B6*FÍSICO!C6)</f>
        <v/>
      </c>
      <c r="E6" s="13">
        <f>IF($B6="","",$B6*FÍSICO!D6)</f>
        <v/>
      </c>
      <c r="F6" s="13">
        <f>IF($B6="","",$B6*FÍSICO!E6)</f>
        <v/>
      </c>
      <c r="G6" s="13">
        <f>IF($B6="","",$B6*FÍSICO!F6)</f>
        <v/>
      </c>
      <c r="H6" s="13">
        <f>IF($B6="","",$B6*FÍSICO!G6)</f>
        <v/>
      </c>
      <c r="I6" s="13">
        <f>IF($B6="","",$B6*FÍSICO!H6)</f>
        <v/>
      </c>
      <c r="J6" s="13">
        <f>IF($B6="","",$B6*FÍSICO!I6)</f>
        <v/>
      </c>
      <c r="K6" s="13">
        <f>IF($B6="","",$B6*FÍSICO!J6)</f>
        <v/>
      </c>
      <c r="L6" s="13">
        <f>IF($B6="","",$B6*FÍSICO!K6)</f>
        <v/>
      </c>
      <c r="M6" s="13">
        <f>IF($B6="","",$B6*FÍSICO!L6)</f>
        <v/>
      </c>
      <c r="N6" s="13">
        <f>IF($B6="","",$B6*FÍSICO!M6)</f>
        <v/>
      </c>
      <c r="O6" s="13">
        <f>IF($B6="","",$B6*FÍSICO!N6)</f>
        <v/>
      </c>
      <c r="P6" s="13">
        <f>IF($B6="","",$B6*FÍSICO!O6)</f>
        <v/>
      </c>
      <c r="Q6" s="13">
        <f>IF($B6="","",$B6*FÍSICO!P6)</f>
        <v/>
      </c>
      <c r="R6" s="13">
        <f>IF($B6="","",$B6*FÍSICO!Q6)</f>
        <v/>
      </c>
      <c r="S6" s="13">
        <f>IF($B6="","",$B6*FÍSICO!R6)</f>
        <v/>
      </c>
      <c r="T6" s="13">
        <f>IF($B6="","",$B6*FÍSICO!S6)</f>
        <v/>
      </c>
    </row>
    <row r="7">
      <c r="A7" s="9" t="inlineStr">
        <is>
          <t>Alvenaria</t>
        </is>
      </c>
      <c r="B7" s="12" t="n"/>
      <c r="C7" s="13">
        <f>IF($B7="","",$B7*FÍSICO!B7)</f>
        <v/>
      </c>
      <c r="D7" s="13">
        <f>IF($B7="","",$B7*FÍSICO!C7)</f>
        <v/>
      </c>
      <c r="E7" s="13">
        <f>IF($B7="","",$B7*FÍSICO!D7)</f>
        <v/>
      </c>
      <c r="F7" s="13">
        <f>IF($B7="","",$B7*FÍSICO!E7)</f>
        <v/>
      </c>
      <c r="G7" s="13">
        <f>IF($B7="","",$B7*FÍSICO!F7)</f>
        <v/>
      </c>
      <c r="H7" s="13">
        <f>IF($B7="","",$B7*FÍSICO!G7)</f>
        <v/>
      </c>
      <c r="I7" s="13">
        <f>IF($B7="","",$B7*FÍSICO!H7)</f>
        <v/>
      </c>
      <c r="J7" s="13">
        <f>IF($B7="","",$B7*FÍSICO!I7)</f>
        <v/>
      </c>
      <c r="K7" s="13">
        <f>IF($B7="","",$B7*FÍSICO!J7)</f>
        <v/>
      </c>
      <c r="L7" s="13">
        <f>IF($B7="","",$B7*FÍSICO!K7)</f>
        <v/>
      </c>
      <c r="M7" s="13">
        <f>IF($B7="","",$B7*FÍSICO!L7)</f>
        <v/>
      </c>
      <c r="N7" s="13">
        <f>IF($B7="","",$B7*FÍSICO!M7)</f>
        <v/>
      </c>
      <c r="O7" s="13">
        <f>IF($B7="","",$B7*FÍSICO!N7)</f>
        <v/>
      </c>
      <c r="P7" s="13">
        <f>IF($B7="","",$B7*FÍSICO!O7)</f>
        <v/>
      </c>
      <c r="Q7" s="13">
        <f>IF($B7="","",$B7*FÍSICO!P7)</f>
        <v/>
      </c>
      <c r="R7" s="13">
        <f>IF($B7="","",$B7*FÍSICO!Q7)</f>
        <v/>
      </c>
      <c r="S7" s="13">
        <f>IF($B7="","",$B7*FÍSICO!R7)</f>
        <v/>
      </c>
      <c r="T7" s="13">
        <f>IF($B7="","",$B7*FÍSICO!S7)</f>
        <v/>
      </c>
    </row>
    <row r="8">
      <c r="A8" s="9" t="inlineStr">
        <is>
          <t>Cobertura</t>
        </is>
      </c>
      <c r="B8" s="12" t="n"/>
      <c r="C8" s="13">
        <f>IF($B8="","",$B8*FÍSICO!B8)</f>
        <v/>
      </c>
      <c r="D8" s="13">
        <f>IF($B8="","",$B8*FÍSICO!C8)</f>
        <v/>
      </c>
      <c r="E8" s="13">
        <f>IF($B8="","",$B8*FÍSICO!D8)</f>
        <v/>
      </c>
      <c r="F8" s="13">
        <f>IF($B8="","",$B8*FÍSICO!E8)</f>
        <v/>
      </c>
      <c r="G8" s="13">
        <f>IF($B8="","",$B8*FÍSICO!F8)</f>
        <v/>
      </c>
      <c r="H8" s="13">
        <f>IF($B8="","",$B8*FÍSICO!G8)</f>
        <v/>
      </c>
      <c r="I8" s="13">
        <f>IF($B8="","",$B8*FÍSICO!H8)</f>
        <v/>
      </c>
      <c r="J8" s="13">
        <f>IF($B8="","",$B8*FÍSICO!I8)</f>
        <v/>
      </c>
      <c r="K8" s="13">
        <f>IF($B8="","",$B8*FÍSICO!J8)</f>
        <v/>
      </c>
      <c r="L8" s="13">
        <f>IF($B8="","",$B8*FÍSICO!K8)</f>
        <v/>
      </c>
      <c r="M8" s="13">
        <f>IF($B8="","",$B8*FÍSICO!L8)</f>
        <v/>
      </c>
      <c r="N8" s="13">
        <f>IF($B8="","",$B8*FÍSICO!M8)</f>
        <v/>
      </c>
      <c r="O8" s="13">
        <f>IF($B8="","",$B8*FÍSICO!N8)</f>
        <v/>
      </c>
      <c r="P8" s="13">
        <f>IF($B8="","",$B8*FÍSICO!O8)</f>
        <v/>
      </c>
      <c r="Q8" s="13">
        <f>IF($B8="","",$B8*FÍSICO!P8)</f>
        <v/>
      </c>
      <c r="R8" s="13">
        <f>IF($B8="","",$B8*FÍSICO!Q8)</f>
        <v/>
      </c>
      <c r="S8" s="13">
        <f>IF($B8="","",$B8*FÍSICO!R8)</f>
        <v/>
      </c>
      <c r="T8" s="13">
        <f>IF($B8="","",$B8*FÍSICO!S8)</f>
        <v/>
      </c>
    </row>
    <row r="9">
      <c r="A9" s="9" t="inlineStr">
        <is>
          <t>Esquadrias</t>
        </is>
      </c>
      <c r="B9" s="12" t="n"/>
      <c r="C9" s="13">
        <f>IF($B9="","",$B9*FÍSICO!B9)</f>
        <v/>
      </c>
      <c r="D9" s="13">
        <f>IF($B9="","",$B9*FÍSICO!C9)</f>
        <v/>
      </c>
      <c r="E9" s="13">
        <f>IF($B9="","",$B9*FÍSICO!D9)</f>
        <v/>
      </c>
      <c r="F9" s="13">
        <f>IF($B9="","",$B9*FÍSICO!E9)</f>
        <v/>
      </c>
      <c r="G9" s="13">
        <f>IF($B9="","",$B9*FÍSICO!F9)</f>
        <v/>
      </c>
      <c r="H9" s="13">
        <f>IF($B9="","",$B9*FÍSICO!G9)</f>
        <v/>
      </c>
      <c r="I9" s="13">
        <f>IF($B9="","",$B9*FÍSICO!H9)</f>
        <v/>
      </c>
      <c r="J9" s="13">
        <f>IF($B9="","",$B9*FÍSICO!I9)</f>
        <v/>
      </c>
      <c r="K9" s="13">
        <f>IF($B9="","",$B9*FÍSICO!J9)</f>
        <v/>
      </c>
      <c r="L9" s="13">
        <f>IF($B9="","",$B9*FÍSICO!K9)</f>
        <v/>
      </c>
      <c r="M9" s="13">
        <f>IF($B9="","",$B9*FÍSICO!L9)</f>
        <v/>
      </c>
      <c r="N9" s="13">
        <f>IF($B9="","",$B9*FÍSICO!M9)</f>
        <v/>
      </c>
      <c r="O9" s="13">
        <f>IF($B9="","",$B9*FÍSICO!N9)</f>
        <v/>
      </c>
      <c r="P9" s="13">
        <f>IF($B9="","",$B9*FÍSICO!O9)</f>
        <v/>
      </c>
      <c r="Q9" s="13">
        <f>IF($B9="","",$B9*FÍSICO!P9)</f>
        <v/>
      </c>
      <c r="R9" s="13">
        <f>IF($B9="","",$B9*FÍSICO!Q9)</f>
        <v/>
      </c>
      <c r="S9" s="13">
        <f>IF($B9="","",$B9*FÍSICO!R9)</f>
        <v/>
      </c>
      <c r="T9" s="13">
        <f>IF($B9="","",$B9*FÍSICO!S9)</f>
        <v/>
      </c>
    </row>
    <row r="10">
      <c r="A10" s="9" t="inlineStr">
        <is>
          <t>Instalações elétricas</t>
        </is>
      </c>
      <c r="B10" s="12" t="n"/>
      <c r="C10" s="13">
        <f>IF($B10="","",$B10*FÍSICO!B10)</f>
        <v/>
      </c>
      <c r="D10" s="13">
        <f>IF($B10="","",$B10*FÍSICO!C10)</f>
        <v/>
      </c>
      <c r="E10" s="13">
        <f>IF($B10="","",$B10*FÍSICO!D10)</f>
        <v/>
      </c>
      <c r="F10" s="13">
        <f>IF($B10="","",$B10*FÍSICO!E10)</f>
        <v/>
      </c>
      <c r="G10" s="13">
        <f>IF($B10="","",$B10*FÍSICO!F10)</f>
        <v/>
      </c>
      <c r="H10" s="13">
        <f>IF($B10="","",$B10*FÍSICO!G10)</f>
        <v/>
      </c>
      <c r="I10" s="13">
        <f>IF($B10="","",$B10*FÍSICO!H10)</f>
        <v/>
      </c>
      <c r="J10" s="13">
        <f>IF($B10="","",$B10*FÍSICO!I10)</f>
        <v/>
      </c>
      <c r="K10" s="13">
        <f>IF($B10="","",$B10*FÍSICO!J10)</f>
        <v/>
      </c>
      <c r="L10" s="13">
        <f>IF($B10="","",$B10*FÍSICO!K10)</f>
        <v/>
      </c>
      <c r="M10" s="13">
        <f>IF($B10="","",$B10*FÍSICO!L10)</f>
        <v/>
      </c>
      <c r="N10" s="13">
        <f>IF($B10="","",$B10*FÍSICO!M10)</f>
        <v/>
      </c>
      <c r="O10" s="13">
        <f>IF($B10="","",$B10*FÍSICO!N10)</f>
        <v/>
      </c>
      <c r="P10" s="13">
        <f>IF($B10="","",$B10*FÍSICO!O10)</f>
        <v/>
      </c>
      <c r="Q10" s="13">
        <f>IF($B10="","",$B10*FÍSICO!P10)</f>
        <v/>
      </c>
      <c r="R10" s="13">
        <f>IF($B10="","",$B10*FÍSICO!Q10)</f>
        <v/>
      </c>
      <c r="S10" s="13">
        <f>IF($B10="","",$B10*FÍSICO!R10)</f>
        <v/>
      </c>
      <c r="T10" s="13">
        <f>IF($B10="","",$B10*FÍSICO!S10)</f>
        <v/>
      </c>
    </row>
    <row r="11">
      <c r="A11" s="9" t="inlineStr">
        <is>
          <t>Instalações hidráulicas</t>
        </is>
      </c>
      <c r="B11" s="12" t="n"/>
      <c r="C11" s="13">
        <f>IF($B11="","",$B11*FÍSICO!B11)</f>
        <v/>
      </c>
      <c r="D11" s="13">
        <f>IF($B11="","",$B11*FÍSICO!C11)</f>
        <v/>
      </c>
      <c r="E11" s="13">
        <f>IF($B11="","",$B11*FÍSICO!D11)</f>
        <v/>
      </c>
      <c r="F11" s="13">
        <f>IF($B11="","",$B11*FÍSICO!E11)</f>
        <v/>
      </c>
      <c r="G11" s="13">
        <f>IF($B11="","",$B11*FÍSICO!F11)</f>
        <v/>
      </c>
      <c r="H11" s="13">
        <f>IF($B11="","",$B11*FÍSICO!G11)</f>
        <v/>
      </c>
      <c r="I11" s="13">
        <f>IF($B11="","",$B11*FÍSICO!H11)</f>
        <v/>
      </c>
      <c r="J11" s="13">
        <f>IF($B11="","",$B11*FÍSICO!I11)</f>
        <v/>
      </c>
      <c r="K11" s="13">
        <f>IF($B11="","",$B11*FÍSICO!J11)</f>
        <v/>
      </c>
      <c r="L11" s="13">
        <f>IF($B11="","",$B11*FÍSICO!K11)</f>
        <v/>
      </c>
      <c r="M11" s="13">
        <f>IF($B11="","",$B11*FÍSICO!L11)</f>
        <v/>
      </c>
      <c r="N11" s="13">
        <f>IF($B11="","",$B11*FÍSICO!M11)</f>
        <v/>
      </c>
      <c r="O11" s="13">
        <f>IF($B11="","",$B11*FÍSICO!N11)</f>
        <v/>
      </c>
      <c r="P11" s="13">
        <f>IF($B11="","",$B11*FÍSICO!O11)</f>
        <v/>
      </c>
      <c r="Q11" s="13">
        <f>IF($B11="","",$B11*FÍSICO!P11)</f>
        <v/>
      </c>
      <c r="R11" s="13">
        <f>IF($B11="","",$B11*FÍSICO!Q11)</f>
        <v/>
      </c>
      <c r="S11" s="13">
        <f>IF($B11="","",$B11*FÍSICO!R11)</f>
        <v/>
      </c>
      <c r="T11" s="13">
        <f>IF($B11="","",$B11*FÍSICO!S11)</f>
        <v/>
      </c>
    </row>
    <row r="12">
      <c r="A12" s="9" t="inlineStr">
        <is>
          <t>Revestimentos</t>
        </is>
      </c>
      <c r="B12" s="12" t="n"/>
      <c r="C12" s="13">
        <f>IF($B12="","",$B12*FÍSICO!B12)</f>
        <v/>
      </c>
      <c r="D12" s="13">
        <f>IF($B12="","",$B12*FÍSICO!C12)</f>
        <v/>
      </c>
      <c r="E12" s="13">
        <f>IF($B12="","",$B12*FÍSICO!D12)</f>
        <v/>
      </c>
      <c r="F12" s="13">
        <f>IF($B12="","",$B12*FÍSICO!E12)</f>
        <v/>
      </c>
      <c r="G12" s="13">
        <f>IF($B12="","",$B12*FÍSICO!F12)</f>
        <v/>
      </c>
      <c r="H12" s="13">
        <f>IF($B12="","",$B12*FÍSICO!G12)</f>
        <v/>
      </c>
      <c r="I12" s="13">
        <f>IF($B12="","",$B12*FÍSICO!H12)</f>
        <v/>
      </c>
      <c r="J12" s="13">
        <f>IF($B12="","",$B12*FÍSICO!I12)</f>
        <v/>
      </c>
      <c r="K12" s="13">
        <f>IF($B12="","",$B12*FÍSICO!J12)</f>
        <v/>
      </c>
      <c r="L12" s="13">
        <f>IF($B12="","",$B12*FÍSICO!K12)</f>
        <v/>
      </c>
      <c r="M12" s="13">
        <f>IF($B12="","",$B12*FÍSICO!L12)</f>
        <v/>
      </c>
      <c r="N12" s="13">
        <f>IF($B12="","",$B12*FÍSICO!M12)</f>
        <v/>
      </c>
      <c r="O12" s="13">
        <f>IF($B12="","",$B12*FÍSICO!N12)</f>
        <v/>
      </c>
      <c r="P12" s="13">
        <f>IF($B12="","",$B12*FÍSICO!O12)</f>
        <v/>
      </c>
      <c r="Q12" s="13">
        <f>IF($B12="","",$B12*FÍSICO!P12)</f>
        <v/>
      </c>
      <c r="R12" s="13">
        <f>IF($B12="","",$B12*FÍSICO!Q12)</f>
        <v/>
      </c>
      <c r="S12" s="13">
        <f>IF($B12="","",$B12*FÍSICO!R12)</f>
        <v/>
      </c>
      <c r="T12" s="13">
        <f>IF($B12="","",$B12*FÍSICO!S12)</f>
        <v/>
      </c>
    </row>
    <row r="13">
      <c r="A13" s="9" t="inlineStr">
        <is>
          <t>Pisos</t>
        </is>
      </c>
      <c r="B13" s="12" t="n"/>
      <c r="C13" s="13">
        <f>IF($B13="","",$B13*FÍSICO!B13)</f>
        <v/>
      </c>
      <c r="D13" s="13">
        <f>IF($B13="","",$B13*FÍSICO!C13)</f>
        <v/>
      </c>
      <c r="E13" s="13">
        <f>IF($B13="","",$B13*FÍSICO!D13)</f>
        <v/>
      </c>
      <c r="F13" s="13">
        <f>IF($B13="","",$B13*FÍSICO!E13)</f>
        <v/>
      </c>
      <c r="G13" s="13">
        <f>IF($B13="","",$B13*FÍSICO!F13)</f>
        <v/>
      </c>
      <c r="H13" s="13">
        <f>IF($B13="","",$B13*FÍSICO!G13)</f>
        <v/>
      </c>
      <c r="I13" s="13">
        <f>IF($B13="","",$B13*FÍSICO!H13)</f>
        <v/>
      </c>
      <c r="J13" s="13">
        <f>IF($B13="","",$B13*FÍSICO!I13)</f>
        <v/>
      </c>
      <c r="K13" s="13">
        <f>IF($B13="","",$B13*FÍSICO!J13)</f>
        <v/>
      </c>
      <c r="L13" s="13">
        <f>IF($B13="","",$B13*FÍSICO!K13)</f>
        <v/>
      </c>
      <c r="M13" s="13">
        <f>IF($B13="","",$B13*FÍSICO!L13)</f>
        <v/>
      </c>
      <c r="N13" s="13">
        <f>IF($B13="","",$B13*FÍSICO!M13)</f>
        <v/>
      </c>
      <c r="O13" s="13">
        <f>IF($B13="","",$B13*FÍSICO!N13)</f>
        <v/>
      </c>
      <c r="P13" s="13">
        <f>IF($B13="","",$B13*FÍSICO!O13)</f>
        <v/>
      </c>
      <c r="Q13" s="13">
        <f>IF($B13="","",$B13*FÍSICO!P13)</f>
        <v/>
      </c>
      <c r="R13" s="13">
        <f>IF($B13="","",$B13*FÍSICO!Q13)</f>
        <v/>
      </c>
      <c r="S13" s="13">
        <f>IF($B13="","",$B13*FÍSICO!R13)</f>
        <v/>
      </c>
      <c r="T13" s="13">
        <f>IF($B13="","",$B13*FÍSICO!S13)</f>
        <v/>
      </c>
    </row>
    <row r="14">
      <c r="A14" s="9" t="inlineStr">
        <is>
          <t>Pintura</t>
        </is>
      </c>
      <c r="B14" s="12" t="n"/>
      <c r="C14" s="13">
        <f>IF($B14="","",$B14*FÍSICO!B14)</f>
        <v/>
      </c>
      <c r="D14" s="13">
        <f>IF($B14="","",$B14*FÍSICO!C14)</f>
        <v/>
      </c>
      <c r="E14" s="13">
        <f>IF($B14="","",$B14*FÍSICO!D14)</f>
        <v/>
      </c>
      <c r="F14" s="13">
        <f>IF($B14="","",$B14*FÍSICO!E14)</f>
        <v/>
      </c>
      <c r="G14" s="13">
        <f>IF($B14="","",$B14*FÍSICO!F14)</f>
        <v/>
      </c>
      <c r="H14" s="13">
        <f>IF($B14="","",$B14*FÍSICO!G14)</f>
        <v/>
      </c>
      <c r="I14" s="13">
        <f>IF($B14="","",$B14*FÍSICO!H14)</f>
        <v/>
      </c>
      <c r="J14" s="13">
        <f>IF($B14="","",$B14*FÍSICO!I14)</f>
        <v/>
      </c>
      <c r="K14" s="13">
        <f>IF($B14="","",$B14*FÍSICO!J14)</f>
        <v/>
      </c>
      <c r="L14" s="13">
        <f>IF($B14="","",$B14*FÍSICO!K14)</f>
        <v/>
      </c>
      <c r="M14" s="13">
        <f>IF($B14="","",$B14*FÍSICO!L14)</f>
        <v/>
      </c>
      <c r="N14" s="13">
        <f>IF($B14="","",$B14*FÍSICO!M14)</f>
        <v/>
      </c>
      <c r="O14" s="13">
        <f>IF($B14="","",$B14*FÍSICO!N14)</f>
        <v/>
      </c>
      <c r="P14" s="13">
        <f>IF($B14="","",$B14*FÍSICO!O14)</f>
        <v/>
      </c>
      <c r="Q14" s="13">
        <f>IF($B14="","",$B14*FÍSICO!P14)</f>
        <v/>
      </c>
      <c r="R14" s="13">
        <f>IF($B14="","",$B14*FÍSICO!Q14)</f>
        <v/>
      </c>
      <c r="S14" s="13">
        <f>IF($B14="","",$B14*FÍSICO!R14)</f>
        <v/>
      </c>
      <c r="T14" s="13">
        <f>IF($B14="","",$B14*FÍSICO!S14)</f>
        <v/>
      </c>
    </row>
    <row r="15">
      <c r="A15" s="9" t="inlineStr">
        <is>
          <t>Limpeza final</t>
        </is>
      </c>
      <c r="B15" s="12" t="n"/>
      <c r="C15" s="13">
        <f>IF($B15="","",$B15*FÍSICO!B15)</f>
        <v/>
      </c>
      <c r="D15" s="13">
        <f>IF($B15="","",$B15*FÍSICO!C15)</f>
        <v/>
      </c>
      <c r="E15" s="13">
        <f>IF($B15="","",$B15*FÍSICO!D15)</f>
        <v/>
      </c>
      <c r="F15" s="13">
        <f>IF($B15="","",$B15*FÍSICO!E15)</f>
        <v/>
      </c>
      <c r="G15" s="13">
        <f>IF($B15="","",$B15*FÍSICO!F15)</f>
        <v/>
      </c>
      <c r="H15" s="13">
        <f>IF($B15="","",$B15*FÍSICO!G15)</f>
        <v/>
      </c>
      <c r="I15" s="13">
        <f>IF($B15="","",$B15*FÍSICO!H15)</f>
        <v/>
      </c>
      <c r="J15" s="13">
        <f>IF($B15="","",$B15*FÍSICO!I15)</f>
        <v/>
      </c>
      <c r="K15" s="13">
        <f>IF($B15="","",$B15*FÍSICO!J15)</f>
        <v/>
      </c>
      <c r="L15" s="13">
        <f>IF($B15="","",$B15*FÍSICO!K15)</f>
        <v/>
      </c>
      <c r="M15" s="13">
        <f>IF($B15="","",$B15*FÍSICO!L15)</f>
        <v/>
      </c>
      <c r="N15" s="13">
        <f>IF($B15="","",$B15*FÍSICO!M15)</f>
        <v/>
      </c>
      <c r="O15" s="13">
        <f>IF($B15="","",$B15*FÍSICO!N15)</f>
        <v/>
      </c>
      <c r="P15" s="13">
        <f>IF($B15="","",$B15*FÍSICO!O15)</f>
        <v/>
      </c>
      <c r="Q15" s="13">
        <f>IF($B15="","",$B15*FÍSICO!P15)</f>
        <v/>
      </c>
      <c r="R15" s="13">
        <f>IF($B15="","",$B15*FÍSICO!Q15)</f>
        <v/>
      </c>
      <c r="S15" s="13">
        <f>IF($B15="","",$B15*FÍSICO!R15)</f>
        <v/>
      </c>
      <c r="T15" s="13">
        <f>IF($B15="","",$B15*FÍSICO!S15)</f>
        <v/>
      </c>
    </row>
    <row r="16">
      <c r="A16" s="14" t="inlineStr">
        <is>
          <t>DESEMBOLSO DO MÊS</t>
        </is>
      </c>
      <c r="B16" s="15">
        <f>SUM(B4:B15)</f>
        <v/>
      </c>
      <c r="C16" s="15">
        <f>SUM(C4:C15)</f>
        <v/>
      </c>
      <c r="D16" s="15">
        <f>SUM(D4:D15)</f>
        <v/>
      </c>
      <c r="E16" s="15">
        <f>SUM(E4:E15)</f>
        <v/>
      </c>
      <c r="F16" s="15">
        <f>SUM(F4:F15)</f>
        <v/>
      </c>
      <c r="G16" s="15">
        <f>SUM(G4:G15)</f>
        <v/>
      </c>
      <c r="H16" s="15">
        <f>SUM(H4:H15)</f>
        <v/>
      </c>
      <c r="I16" s="15">
        <f>SUM(I4:I15)</f>
        <v/>
      </c>
      <c r="J16" s="15">
        <f>SUM(J4:J15)</f>
        <v/>
      </c>
      <c r="K16" s="15">
        <f>SUM(K4:K15)</f>
        <v/>
      </c>
      <c r="L16" s="15">
        <f>SUM(L4:L15)</f>
        <v/>
      </c>
      <c r="M16" s="15">
        <f>SUM(M4:M15)</f>
        <v/>
      </c>
      <c r="N16" s="15">
        <f>SUM(N4:N15)</f>
        <v/>
      </c>
      <c r="O16" s="15">
        <f>SUM(O4:O15)</f>
        <v/>
      </c>
      <c r="P16" s="15">
        <f>SUM(P4:P15)</f>
        <v/>
      </c>
      <c r="Q16" s="15">
        <f>SUM(Q4:Q15)</f>
        <v/>
      </c>
      <c r="R16" s="15">
        <f>SUM(R4:R15)</f>
        <v/>
      </c>
      <c r="S16" s="15">
        <f>SUM(S4:S15)</f>
        <v/>
      </c>
      <c r="T16" s="15">
        <f>SUM(T4:T15)</f>
        <v/>
      </c>
    </row>
    <row r="17">
      <c r="A17" s="14" t="inlineStr">
        <is>
          <t>ACUMULADO</t>
        </is>
      </c>
      <c r="C17" s="16">
        <f>C16</f>
        <v/>
      </c>
      <c r="D17" s="16">
        <f>C17+D16</f>
        <v/>
      </c>
      <c r="E17" s="16">
        <f>D17+E16</f>
        <v/>
      </c>
      <c r="F17" s="16">
        <f>E17+F16</f>
        <v/>
      </c>
      <c r="G17" s="16">
        <f>F17+G16</f>
        <v/>
      </c>
      <c r="H17" s="16">
        <f>G17+H16</f>
        <v/>
      </c>
      <c r="I17" s="16">
        <f>H17+I16</f>
        <v/>
      </c>
      <c r="J17" s="16">
        <f>I17+J16</f>
        <v/>
      </c>
      <c r="K17" s="16">
        <f>J17+K16</f>
        <v/>
      </c>
      <c r="L17" s="16">
        <f>K17+L16</f>
        <v/>
      </c>
      <c r="M17" s="16">
        <f>L17+M16</f>
        <v/>
      </c>
      <c r="N17" s="16">
        <f>M17+N16</f>
        <v/>
      </c>
      <c r="O17" s="16">
        <f>N17+O16</f>
        <v/>
      </c>
      <c r="P17" s="16">
        <f>O17+P16</f>
        <v/>
      </c>
      <c r="Q17" s="16">
        <f>P17+Q16</f>
        <v/>
      </c>
      <c r="R17" s="16">
        <f>Q17+R16</f>
        <v/>
      </c>
      <c r="S17" s="16">
        <f>R17+S16</f>
        <v/>
      </c>
      <c r="T17" s="16">
        <f>S17+T16</f>
        <v/>
      </c>
    </row>
    <row r="18">
      <c r="A18" s="14" t="inlineStr">
        <is>
          <t>% ACUMULADO (curva S)</t>
        </is>
      </c>
      <c r="C18" s="17">
        <f>IF($B16=0,"",C17/$B16)</f>
        <v/>
      </c>
      <c r="D18" s="17">
        <f>IF($B16=0,"",D17/$B16)</f>
        <v/>
      </c>
      <c r="E18" s="17">
        <f>IF($B16=0,"",E17/$B16)</f>
        <v/>
      </c>
      <c r="F18" s="17">
        <f>IF($B16=0,"",F17/$B16)</f>
        <v/>
      </c>
      <c r="G18" s="17">
        <f>IF($B16=0,"",G17/$B16)</f>
        <v/>
      </c>
      <c r="H18" s="17">
        <f>IF($B16=0,"",H17/$B16)</f>
        <v/>
      </c>
      <c r="I18" s="17">
        <f>IF($B16=0,"",I17/$B16)</f>
        <v/>
      </c>
      <c r="J18" s="17">
        <f>IF($B16=0,"",J17/$B16)</f>
        <v/>
      </c>
      <c r="K18" s="17">
        <f>IF($B16=0,"",K17/$B16)</f>
        <v/>
      </c>
      <c r="L18" s="17">
        <f>IF($B16=0,"",L17/$B16)</f>
        <v/>
      </c>
      <c r="M18" s="17">
        <f>IF($B16=0,"",M17/$B16)</f>
        <v/>
      </c>
      <c r="N18" s="17">
        <f>IF($B16=0,"",N17/$B16)</f>
        <v/>
      </c>
      <c r="O18" s="17">
        <f>IF($B16=0,"",O17/$B16)</f>
        <v/>
      </c>
      <c r="P18" s="17">
        <f>IF($B16=0,"",P17/$B16)</f>
        <v/>
      </c>
      <c r="Q18" s="17">
        <f>IF($B16=0,"",Q17/$B16)</f>
        <v/>
      </c>
      <c r="R18" s="17">
        <f>IF($B16=0,"",R17/$B16)</f>
        <v/>
      </c>
      <c r="S18" s="17">
        <f>IF($B16=0,"",S17/$B16)</f>
        <v/>
      </c>
      <c r="T18" s="17">
        <f>IF($B16=0,"",T17/$B16)</f>
        <v/>
      </c>
    </row>
    <row r="20">
      <c r="A20" s="6" t="inlineStr">
        <is>
          <t>A curva S abaixo se preenche sozinha conforme você lança os valores e o avanço físico.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2026-08-01T11:50:58Z</dcterms:created>
  <dcterms:modified xmlns:dcterms="http://purl.org/dc/terms/" xmlns:xsi="http://www.w3.org/2001/XMLSchema-instance" xsi:type="dcterms:W3CDTF">2026-08-01T11:50:58Z</dcterms:modified>
</cp:coreProperties>
</file>